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shit-my.sharepoint.com/personal/efi_reshit_co_il/Documents/Documents/משרדיות/"/>
    </mc:Choice>
  </mc:AlternateContent>
  <xr:revisionPtr revIDLastSave="0" documentId="8_{9525C964-FB3F-4F4D-B842-F06B995D3F2A}" xr6:coauthVersionLast="47" xr6:coauthVersionMax="47" xr10:uidLastSave="{00000000-0000-0000-0000-000000000000}"/>
  <bookViews>
    <workbookView xWindow="-120" yWindow="-120" windowWidth="29040" windowHeight="15720" activeTab="2" xr2:uid="{495AEFD7-4ADE-4106-9B3B-673E7F4E7418}"/>
  </bookViews>
  <sheets>
    <sheet name="גיליון1" sheetId="1" r:id="rId1"/>
    <sheet name="מאפיים" sheetId="8" r:id="rId2"/>
    <sheet name="תנובה" sheetId="11" r:id="rId3"/>
    <sheet name="גידרון" sheetId="5" r:id="rId4"/>
    <sheet name="וגשל" sheetId="2" r:id="rId5"/>
    <sheet name="חד פעמי" sheetId="3" r:id="rId6"/>
    <sheet name="חד פעמי חדש" sheetId="9" r:id="rId7"/>
    <sheet name="אנגל" sheetId="10" r:id="rId8"/>
    <sheet name="הודיה פלסט" sheetId="7" r:id="rId9"/>
    <sheet name="יפאורה" sheetId="4" r:id="rId10"/>
  </sheets>
  <definedNames>
    <definedName name="_xlnm.Print_Area" localSheetId="3">גידרון!$A$2:$E$53</definedName>
    <definedName name="_xlnm.Print_Area" localSheetId="5">'חד פעמי'!$A$1:$G$78</definedName>
    <definedName name="_xlnm.Print_Titles" localSheetId="0">גיליון1!$1:$1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IV5" i="4"/>
  <c r="E6" i="4"/>
  <c r="E7" i="4"/>
  <c r="E8" i="4"/>
  <c r="E9" i="4"/>
  <c r="E10" i="4"/>
  <c r="E11" i="4"/>
  <c r="E12" i="4"/>
  <c r="E13" i="4"/>
  <c r="E14" i="4"/>
  <c r="E15" i="4"/>
  <c r="E16" i="4"/>
  <c r="E17" i="4"/>
  <c r="IV14" i="3"/>
  <c r="IV7" i="5"/>
  <c r="D94" i="1"/>
  <c r="G200" i="1"/>
  <c r="G201" i="1"/>
  <c r="G202" i="1"/>
  <c r="G203" i="1"/>
  <c r="G204" i="1"/>
  <c r="G205" i="1"/>
  <c r="G206" i="1"/>
  <c r="G207" i="1"/>
  <c r="G208" i="1"/>
  <c r="G209" i="1"/>
  <c r="D268" i="1"/>
  <c r="D269" i="1"/>
  <c r="G418" i="1"/>
  <c r="G428" i="1"/>
  <c r="G451" i="1"/>
  <c r="G481" i="1"/>
  <c r="G483" i="1"/>
  <c r="G491" i="1"/>
  <c r="G492" i="1"/>
  <c r="G495" i="1"/>
  <c r="G504" i="1"/>
  <c r="G512" i="1"/>
  <c r="G522" i="1"/>
  <c r="G529" i="1"/>
  <c r="G542" i="1"/>
  <c r="G543" i="1"/>
  <c r="G544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7" i="1"/>
  <c r="G569" i="1"/>
  <c r="G570" i="1"/>
  <c r="G571" i="1"/>
  <c r="G572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IV707" i="1"/>
</calcChain>
</file>

<file path=xl/sharedStrings.xml><?xml version="1.0" encoding="utf-8"?>
<sst xmlns="http://schemas.openxmlformats.org/spreadsheetml/2006/main" count="2981" uniqueCount="1663">
  <si>
    <t>קוד</t>
  </si>
  <si>
    <t>מוצר</t>
  </si>
  <si>
    <t>לחמניה 75 גר,</t>
  </si>
  <si>
    <t xml:space="preserve">לחמנית אצבע קטן </t>
  </si>
  <si>
    <t>שש המבורגר בשקית</t>
  </si>
  <si>
    <t>לחמניות בינגו</t>
  </si>
  <si>
    <t>שחור פרוס</t>
  </si>
  <si>
    <t>חלה רגילה</t>
  </si>
  <si>
    <t>חלת שיפון</t>
  </si>
  <si>
    <t>ביגל אמריקאי כהה</t>
  </si>
  <si>
    <t>ביגל אמריקאי קטן</t>
  </si>
  <si>
    <t>אחיד מלא</t>
  </si>
  <si>
    <t>שמרים קקאו</t>
  </si>
  <si>
    <t>עוגת שיש</t>
  </si>
  <si>
    <t>רוגלך שוקולד</t>
  </si>
  <si>
    <t>רוגלך קינמון</t>
  </si>
  <si>
    <t>מאפיית אנג'ל</t>
  </si>
  <si>
    <t>תנובה</t>
  </si>
  <si>
    <t>ירושלים פרוס 3 ק"ג</t>
  </si>
  <si>
    <t>יחידה</t>
  </si>
  <si>
    <t>ק"ג</t>
  </si>
  <si>
    <t>באדי תות 125 גרם בד"צ</t>
  </si>
  <si>
    <t>חלב מהדרין 3% שקית</t>
  </si>
  <si>
    <t>חלב מהדרין 1% שקית</t>
  </si>
  <si>
    <t xml:space="preserve">באדי וניל בדצ 125 גרם </t>
  </si>
  <si>
    <t xml:space="preserve">באדי שוקו בדצ 125 גרם </t>
  </si>
  <si>
    <t>קוטג' 5% מהדרין 2 ק"ג</t>
  </si>
  <si>
    <t>שוקו בדצ 225</t>
  </si>
  <si>
    <t>סויה 1 ליטר מועשר</t>
  </si>
  <si>
    <t>שמנת 4 42% בדצ</t>
  </si>
  <si>
    <t>חמאה 100 בדצ</t>
  </si>
  <si>
    <t>מרגרינה לאפיה חמאה</t>
  </si>
  <si>
    <t>ביצי כפר</t>
  </si>
  <si>
    <t>דלי איחסון ביצה קשה</t>
  </si>
  <si>
    <t>ביצה מ. חביתות 10 ק"ג</t>
  </si>
  <si>
    <t>ביצה קשה 10 ק"ג</t>
  </si>
  <si>
    <t>ביצה צהוב 10 ק"ג</t>
  </si>
  <si>
    <t>ביצה מ. חביתות 3*4</t>
  </si>
  <si>
    <t>חסר</t>
  </si>
  <si>
    <t>קרטון חסה</t>
  </si>
  <si>
    <t>פטרוזיליה</t>
  </si>
  <si>
    <t>כוסברה</t>
  </si>
  <si>
    <t>שמיר</t>
  </si>
  <si>
    <t>נענע</t>
  </si>
  <si>
    <t>בצל ירוק</t>
  </si>
  <si>
    <t>סלרי</t>
  </si>
  <si>
    <t>סלק עלים</t>
  </si>
  <si>
    <t>כרוב לבן</t>
  </si>
  <si>
    <t>כרוב אדום</t>
  </si>
  <si>
    <t>כרובית</t>
  </si>
  <si>
    <t>עירית</t>
  </si>
  <si>
    <t>בזיליקום</t>
  </si>
  <si>
    <t>שיבא</t>
  </si>
  <si>
    <t>תרד</t>
  </si>
  <si>
    <t>בייבי סלט</t>
  </si>
  <si>
    <t>רוזמרין</t>
  </si>
  <si>
    <t>לוף</t>
  </si>
  <si>
    <t>קרטון</t>
  </si>
  <si>
    <t>מחלבות גד</t>
  </si>
  <si>
    <t>שמנת טבעי</t>
  </si>
  <si>
    <t>מגוררת לפיצה</t>
  </si>
  <si>
    <t>בולגרי דלי 5%</t>
  </si>
  <si>
    <t>שמנת זיתים מהדרין</t>
  </si>
  <si>
    <t>שמנת שמיר מהדרין</t>
  </si>
  <si>
    <t>שיווק ירדן רם</t>
  </si>
  <si>
    <t>קרואסון שוקולד תפזורת</t>
  </si>
  <si>
    <t>רוגלך</t>
  </si>
  <si>
    <t>בלינצ'ס גבינה</t>
  </si>
  <si>
    <t>בצק עלים בגלילים (פרה)</t>
  </si>
  <si>
    <t>כדורי פלאפל תפזורת פר</t>
  </si>
  <si>
    <t>אגרול מיני בדצ</t>
  </si>
  <si>
    <t>קרפלך בשר</t>
  </si>
  <si>
    <t>קרפלך טעם בשר</t>
  </si>
  <si>
    <t>קפוא זן</t>
  </si>
  <si>
    <t>בורקס תפו"א 6 ק"ג שחף</t>
  </si>
  <si>
    <t>טבעות בצל 5 ק"ג שף הטבע</t>
  </si>
  <si>
    <t>לטקס תפו"א 8 ק"ג - שף הטוב</t>
  </si>
  <si>
    <t>יפאורה</t>
  </si>
  <si>
    <t>פסטל 5 ק"ג רובין</t>
  </si>
  <si>
    <t>קובה בשר מיני 5 ק"ג רובין</t>
  </si>
  <si>
    <t>ריצ' בסיס קצפת 4*3.78 בדצ</t>
  </si>
  <si>
    <t>בלינצ'ס בטעם בשר</t>
  </si>
  <si>
    <t>קובה מיני בשר</t>
  </si>
  <si>
    <t>שניצל תירס 8 ק"ג - שף הטוב</t>
  </si>
  <si>
    <t>בצק עלים 2/6 ק"ג - יינון</t>
  </si>
  <si>
    <t>סיגר תפו"א 5 ק"ג רובין</t>
  </si>
  <si>
    <t>ריצ' להעשרת קפה 12*0.855</t>
  </si>
  <si>
    <t>שניצל נסיכה בשומשום 8 ק"ג</t>
  </si>
  <si>
    <t>פילה זהבון תפזורת 10 ק"ג</t>
  </si>
  <si>
    <t>בצק עלים מוסדי</t>
  </si>
  <si>
    <t>בורגר צמחי 8 ק"ג</t>
  </si>
  <si>
    <t>שניצל תירס 8 ק"ג</t>
  </si>
  <si>
    <t>אגרול ירקות בדצ רובין</t>
  </si>
  <si>
    <t>קציצות דג (קפוא זן)</t>
  </si>
  <si>
    <t>דניש קרם וניל</t>
  </si>
  <si>
    <t>טבעות בצל 5 ק"ג</t>
  </si>
  <si>
    <t>בורקס תפו"א</t>
  </si>
  <si>
    <t>בורקס גבינה</t>
  </si>
  <si>
    <t>בורקס פטריות</t>
  </si>
  <si>
    <t>רביולי בטטה</t>
  </si>
  <si>
    <t>רביולי פטריות</t>
  </si>
  <si>
    <t>רביולי תרד</t>
  </si>
  <si>
    <t>שטרודל אצבעות קינמון</t>
  </si>
  <si>
    <t>אמפנדה בשר מיני</t>
  </si>
  <si>
    <t>לביבות תירס מטוגנות</t>
  </si>
  <si>
    <t>קרואסון חמאה ריק</t>
  </si>
  <si>
    <t>ביס תרד</t>
  </si>
  <si>
    <t>ביס פטריות</t>
  </si>
  <si>
    <t>נקנקיה לעטיפה צמחית</t>
  </si>
  <si>
    <t>שניצל לקט ירקות 8 ק"ג</t>
  </si>
  <si>
    <t>אמפנדה בשר גדול מטוגן</t>
  </si>
  <si>
    <t>טאמפנדה פטריות גדול</t>
  </si>
  <si>
    <t>אגרול  בדצ</t>
  </si>
  <si>
    <t>הנחה</t>
  </si>
  <si>
    <t>ארגז</t>
  </si>
  <si>
    <t>ספרינג תפו"ע 1.5 (12)</t>
  </si>
  <si>
    <t>RC 1.5  - שישיה</t>
  </si>
  <si>
    <t>RC DIET 1.5  - שישיה</t>
  </si>
  <si>
    <t>RCQ 1.5 אורנג - (12)</t>
  </si>
  <si>
    <t>RCQ 1.5 לימון - (12)</t>
  </si>
  <si>
    <t>שוופס סודה 1.5 (12)</t>
  </si>
  <si>
    <t>RC קןלה פחיות</t>
  </si>
  <si>
    <t>גת קדן</t>
  </si>
  <si>
    <t>בקבוק</t>
  </si>
  <si>
    <t>תירוש אדום 1 ליטר+פיקדון</t>
  </si>
  <si>
    <t>אביבי</t>
  </si>
  <si>
    <t>פלפל שחור טחון</t>
  </si>
  <si>
    <t>כורכום טחון</t>
  </si>
  <si>
    <t>מלח לימון</t>
  </si>
  <si>
    <t>שמיר יבש</t>
  </si>
  <si>
    <t>קקאו כהה 20/22</t>
  </si>
  <si>
    <t>פפריקה מתוקה</t>
  </si>
  <si>
    <t>שום גבישי</t>
  </si>
  <si>
    <t>שעועית אדומה</t>
  </si>
  <si>
    <t>שוקולד צ'יפס (צמקאו)</t>
  </si>
  <si>
    <t>מחית אוכמניות פוליבה</t>
  </si>
  <si>
    <t>מחית תפוח עץ הדרום</t>
  </si>
  <si>
    <t>אבקת אפיה 1 ק"ג רובין</t>
  </si>
  <si>
    <t>פלפל שחור גרוס</t>
  </si>
  <si>
    <t>אורגנו</t>
  </si>
  <si>
    <t>גריסים</t>
  </si>
  <si>
    <t>ממרח שוקולד (22)</t>
  </si>
  <si>
    <t>מחית אוכמניות אופק</t>
  </si>
  <si>
    <t>תירס גרעינים (פופקורן)</t>
  </si>
  <si>
    <t>כמון טחון</t>
  </si>
  <si>
    <t>סודה לשתיה</t>
  </si>
  <si>
    <t>תמצית וניל</t>
  </si>
  <si>
    <t>31XX</t>
  </si>
  <si>
    <t>צימוק חום אמריקאי</t>
  </si>
  <si>
    <t>קינמון טחון</t>
  </si>
  <si>
    <t>שבבי בצל</t>
  </si>
  <si>
    <t>עלי דפנה</t>
  </si>
  <si>
    <t>זנגביל טחון</t>
  </si>
  <si>
    <t>אפונה יבשה</t>
  </si>
  <si>
    <t>מזרה שוקולד ארוז</t>
  </si>
  <si>
    <t>מזרה צבעוני ארוז</t>
  </si>
  <si>
    <t>אבקת סוכר 1 ק"ג</t>
  </si>
  <si>
    <t>שומשום</t>
  </si>
  <si>
    <t>123X</t>
  </si>
  <si>
    <t>שטה גרוס</t>
  </si>
  <si>
    <t>18XX</t>
  </si>
  <si>
    <t>אבקת שום בצנצנת מעוקרת</t>
  </si>
  <si>
    <t>זנגביל בצנצנת מעוקרת</t>
  </si>
  <si>
    <t>תבלין לעמבה</t>
  </si>
  <si>
    <t>אלי בוסיבא - גלידות</t>
  </si>
  <si>
    <t>גביע/לבבות 30</t>
  </si>
  <si>
    <t>5 ליטר רגיל</t>
  </si>
  <si>
    <t>כולל מע"מ</t>
  </si>
  <si>
    <t>5 ליטר מיוחד</t>
  </si>
  <si>
    <t>קרח 48-54</t>
  </si>
  <si>
    <t>גורן</t>
  </si>
  <si>
    <t>קמח 1 ק"ג רובין</t>
  </si>
  <si>
    <t>שמן סויה 16 ק"ג עץ הזית</t>
  </si>
  <si>
    <t>אורז השף 25 ק"ג</t>
  </si>
  <si>
    <t>טונה 1 ק"ג רובין ג'ונ</t>
  </si>
  <si>
    <t>מלפפון 66-80 מלח 9 ל' רובין</t>
  </si>
  <si>
    <t>ברנפלקס 500 גר' תלמה</t>
  </si>
  <si>
    <t>סוכר 1 ק"ג</t>
  </si>
  <si>
    <t>סירופ מייפל 5 ק"ג תלמה</t>
  </si>
  <si>
    <t>רסק עגבניות A10 22% "טומט</t>
  </si>
  <si>
    <t>פטריות חתוך A9 רובין</t>
  </si>
  <si>
    <t>תירס A10 בד"צ</t>
  </si>
  <si>
    <t>סוכר חום 1 ק"ג סוגת</t>
  </si>
  <si>
    <t>ריבת מנות</t>
  </si>
  <si>
    <t>עגבניות קוביות A10 גורן</t>
  </si>
  <si>
    <t>קפה עלית 100 גר'</t>
  </si>
  <si>
    <t>תירס A10 בדצ</t>
  </si>
  <si>
    <t>מיץ לימון 4 ליטר רובין</t>
  </si>
  <si>
    <t>קורנפלקס קוקומן 500 גרם</t>
  </si>
  <si>
    <t>פתיתי תפו"א 20 ק"ג לנדאו</t>
  </si>
  <si>
    <t>חמאת בוטנים 5 ק"ג תלמה</t>
  </si>
  <si>
    <t>מיונז 5 ק"ג אוסם</t>
  </si>
  <si>
    <t>זית ירוק 15-17 9 ליטר לנדאו</t>
  </si>
  <si>
    <t>סולת 1 ק"ג דגן</t>
  </si>
  <si>
    <t>אבקת שוקו 1 ק"ג ברמן</t>
  </si>
  <si>
    <t>קורנפלקס 750 גרם תלמה</t>
  </si>
  <si>
    <t>מרק פטריות 1 ק"ג רובין</t>
  </si>
  <si>
    <t>קמח מצה 500 גרם לנדאו</t>
  </si>
  <si>
    <t>מלח שולחן 12 יח</t>
  </si>
  <si>
    <t>שמן זית 4 ליטר כרמים רובין</t>
  </si>
  <si>
    <t>שמן סויה 16 ק"ג בד"צ</t>
  </si>
  <si>
    <t>אננס חתוך A10</t>
  </si>
  <si>
    <t>אפרסק A10 גורן</t>
  </si>
  <si>
    <t>קוקטייל פירות A10 גורן</t>
  </si>
  <si>
    <t>קווקר שיבולת שועל 200 גרם</t>
  </si>
  <si>
    <t>פסטה קרניים גדולים 5 ק"ג</t>
  </si>
  <si>
    <t>פסטה מסולסלת 5 ק"ג</t>
  </si>
  <si>
    <t>דבש 1.5 ק"ג בד"צ</t>
  </si>
  <si>
    <t>טחינה עדן 5 ק"ג בד"צ</t>
  </si>
  <si>
    <t>שוגי 1 ק"ג תלמה</t>
  </si>
  <si>
    <t>אבקת שוקונס 1 ק"ג טופז</t>
  </si>
  <si>
    <t>פתיתים אורז 10 ק"ג אוסם</t>
  </si>
  <si>
    <t>רוטב צילי 5 ליטר תלמה</t>
  </si>
  <si>
    <t xml:space="preserve">אבקת פודינג 1 ק"ג וניל אוסם </t>
  </si>
  <si>
    <t>פתיתים עגולים 12 ק"ג אוסם</t>
  </si>
  <si>
    <t>מלפפון 200-250 מלח 9 ליטר</t>
  </si>
  <si>
    <t xml:space="preserve">אבקת פודינג 1 ק"ג שוקולד אוסם </t>
  </si>
  <si>
    <t>מלפפון 201-250 מלח 9 ליטר</t>
  </si>
  <si>
    <t>שמן סויה 16 ק"ג לנדאו</t>
  </si>
  <si>
    <t>חומץ 4 ליטר רובין</t>
  </si>
  <si>
    <t>פסטה זרה לזניה 5 ק"ג</t>
  </si>
  <si>
    <t>תה 2000 אלזן</t>
  </si>
  <si>
    <t>מרק בטעם עוף ויטה 1 ק"ג</t>
  </si>
  <si>
    <t>תה ויסוצקי 2000 יח</t>
  </si>
  <si>
    <t>חרדל דיז'ון 5 ק"ג תלמה</t>
  </si>
  <si>
    <t>פתי בר 2 ק"ג</t>
  </si>
  <si>
    <t>אבקת ג'יל 1 ק"ג תות אוסם</t>
  </si>
  <si>
    <t>גזר קוביות A10 גורן</t>
  </si>
  <si>
    <t>אפונה וגזר A10 גורן</t>
  </si>
  <si>
    <t>זית חרוזית שחור 9 ליטר מוטו</t>
  </si>
  <si>
    <t>עגבניות מרוסקות A10 גורן</t>
  </si>
  <si>
    <t>קורנפלקס 1 ק"ג מצופה דבש</t>
  </si>
  <si>
    <t>זית חרוזית ירוק A10</t>
  </si>
  <si>
    <t>זית חרוזית שחור A2 בדצ</t>
  </si>
  <si>
    <t>זית חרוזית ירוק A2 בדצ</t>
  </si>
  <si>
    <t>חומוס A2 בד"צ</t>
  </si>
  <si>
    <t>שעועית אפויה A2</t>
  </si>
  <si>
    <t>בצל שבבים 1 ק"ג רובין</t>
  </si>
  <si>
    <t>חומץ טבעי 4 ליטר עסיס</t>
  </si>
  <si>
    <t>פופקורן 1 ק"ג</t>
  </si>
  <si>
    <t>אורגנו 1 ק"ג רובין</t>
  </si>
  <si>
    <t>סודה לשתיה 1 ק"ג רובין</t>
  </si>
  <si>
    <t>פלפל שחור 1 ק"ג רובין</t>
  </si>
  <si>
    <t>מלח בישול 12 יח</t>
  </si>
  <si>
    <t>מלח לימון 1 ק"ג רובין</t>
  </si>
  <si>
    <t>שמן קנולה 1 ליטר</t>
  </si>
  <si>
    <t>סירופ שוקולד 5 ק"ג אפיכל</t>
  </si>
  <si>
    <t>פסטה צבעונית 5 ק"ג תלמה</t>
  </si>
  <si>
    <t>רוטב אלף האיים 5 ליטר תלמה</t>
  </si>
  <si>
    <t>צימוק לבן 13.6 ק"ג</t>
  </si>
  <si>
    <t>גריסים 1 ק"ג</t>
  </si>
  <si>
    <t>קוקוס 1 ק"ג ברמן</t>
  </si>
  <si>
    <t>תמצית וניל 1 ליטר</t>
  </si>
  <si>
    <t>אבקת סוכר 1 ק"ג ברמן</t>
  </si>
  <si>
    <t>קורנפלור 1 ק"ג רובין</t>
  </si>
  <si>
    <t>אבקת בלילה אוסם 1 ק"ג</t>
  </si>
  <si>
    <t>מלח גביש 25 ק"ג</t>
  </si>
  <si>
    <t>קרוטונים 1 ק"ג</t>
  </si>
  <si>
    <t>פסטה צינורות 5 ק"ג</t>
  </si>
  <si>
    <t>מרק פטריות אוסם 1 ק"ג</t>
  </si>
  <si>
    <t>סוכרזית מנות</t>
  </si>
  <si>
    <t>מרק עגבניות אוסם 1 ק"ג</t>
  </si>
  <si>
    <t>מרק סלרי 1 ק"ג אוסם</t>
  </si>
  <si>
    <t>קצפת צמחית 5 ליטר</t>
  </si>
  <si>
    <t>שעועית אדומה 500 גר'</t>
  </si>
  <si>
    <t>פסטה קרניים קטנים 5 ק"ג</t>
  </si>
  <si>
    <t>שקדי מרק 500*10 גרם אוסם</t>
  </si>
  <si>
    <t>כורכום 1 ק"ג רובין</t>
  </si>
  <si>
    <t>אטריות דקות 10 ק"ג אוסם</t>
  </si>
  <si>
    <t>קפה נמס עלית 200 גר'</t>
  </si>
  <si>
    <t>פירורי לחם זהב 10 ק"ג אוסם</t>
  </si>
  <si>
    <t>פלפל שחור גרוס 1 ק"ג רובין</t>
  </si>
  <si>
    <t>זית מוזולינו A2</t>
  </si>
  <si>
    <t>קטשופ טל 6 ק"ג מילוז</t>
  </si>
  <si>
    <t>אננס חתוך A10 בד"צ</t>
  </si>
  <si>
    <t>פסטה ספגטי 5 ק"ג</t>
  </si>
  <si>
    <t>פטריות חתוך A9 בד"צ</t>
  </si>
  <si>
    <t>שקדי מרק 1*20 משובח</t>
  </si>
  <si>
    <t>רסק תפוחי עץ A10 בד"צ</t>
  </si>
  <si>
    <t>מרק בטעם עוף זך 1 ק"ג אוסם</t>
  </si>
  <si>
    <t>רוטב ברביקיו אוסם</t>
  </si>
  <si>
    <t>סירופ 4 ליטר אחדות</t>
  </si>
  <si>
    <t>מיץ לימון 4 ליטר עסיס</t>
  </si>
  <si>
    <t>אפונה יבשה 500 גר'</t>
  </si>
  <si>
    <t>שמן זית 1 ליטר בד"צ</t>
  </si>
  <si>
    <t>זית מונזלינו 15-17 9 ליטר פ</t>
  </si>
  <si>
    <t>זית שחור A2 בד"צ</t>
  </si>
  <si>
    <t>פתיתים עגולים 10 ק"ג אוסם</t>
  </si>
  <si>
    <t>קטשופ A10 גורן</t>
  </si>
  <si>
    <t>נייר אפיה 40*60 גדול</t>
  </si>
  <si>
    <t>גפרורים</t>
  </si>
  <si>
    <t>ניילון נצמד 45</t>
  </si>
  <si>
    <t>זנגויל 1 ק"ג ברמן</t>
  </si>
  <si>
    <t>קפה עלית מוסדי 1 ק"ג בד"צ</t>
  </si>
  <si>
    <t>קטשופ A10 בד"צ</t>
  </si>
  <si>
    <t>אוסם</t>
  </si>
  <si>
    <t>קטשופ במיכל 20 ק"ג</t>
  </si>
  <si>
    <t>מיכל</t>
  </si>
  <si>
    <t>מיונז אמיתי 5 ק"ג</t>
  </si>
  <si>
    <t>רוטב שום ודבש 4 ליטר</t>
  </si>
  <si>
    <t>רוטב אלף האיים לסלט 4 ליטר</t>
  </si>
  <si>
    <t>רוטב חמוץ מתוק בסגנון סיני 4 ליטר</t>
  </si>
  <si>
    <t>רוטב צ'ילי מתוק 4 ליטר</t>
  </si>
  <si>
    <t>שק</t>
  </si>
  <si>
    <t>זארה קיפרי ריגאטה 55 - 5 ק"ג</t>
  </si>
  <si>
    <t>זארה לזאניה - 5 ק"ג</t>
  </si>
  <si>
    <t>זארה פתיתים פנה ריגאטה - 5 ק"ג</t>
  </si>
  <si>
    <t>מרק סופר סופ גריסים - 50 מנות</t>
  </si>
  <si>
    <t>10 שקיות</t>
  </si>
  <si>
    <t>מרק סופר סופ בצל - 50 מנות</t>
  </si>
  <si>
    <t>אסם פתי בר - 1.750 ק"ג</t>
  </si>
  <si>
    <t>אבקת מרק עגבניות - 1 ק"ג</t>
  </si>
  <si>
    <t>אבקת מרק אפונה - 1 ק"ג</t>
  </si>
  <si>
    <t>אבקת מרק בצל - 1 ק"ג</t>
  </si>
  <si>
    <t>אבקת מרק זך טעם עוף - 1 ק"ג</t>
  </si>
  <si>
    <t>נסקפה טייסטרס צ'ויס 200 גרם</t>
  </si>
  <si>
    <t>5 שקיות</t>
  </si>
  <si>
    <t>מרק סופר סופ סלרי - 50 מנות</t>
  </si>
  <si>
    <t>פירורית זהב לטיגון ואפיה - 10 ק"ג</t>
  </si>
  <si>
    <t>תבלון רוטב סויה במיכל - 4.6 ליטר</t>
  </si>
  <si>
    <t>רוטב שום במיכל - 4 ליטר</t>
  </si>
  <si>
    <t>רוטב וינגרט - 4 ליטר</t>
  </si>
  <si>
    <t>אסם אטריות רחבות - 10 ק"ג</t>
  </si>
  <si>
    <t>גונדולה פתיתים ספירלי 57 - 5 ק"ג</t>
  </si>
  <si>
    <t>פתיתים אפויים קוסקוס - 10 ק"ג</t>
  </si>
  <si>
    <t>קרוטונים - 1 ק"ג</t>
  </si>
  <si>
    <t>שקדי מרק מרכיבים טבעיים - 5 ק"ג</t>
  </si>
  <si>
    <t>חרדל אמיתי במיכל - 5 ק"ג</t>
  </si>
  <si>
    <t>ביסלי בטעם גריל - 200 גרם</t>
  </si>
  <si>
    <t>שקית</t>
  </si>
  <si>
    <t>זארה גרמיניונה 27 - 5 ק"ג</t>
  </si>
  <si>
    <t>אבקת מרק פטריות - 1 ק"ג</t>
  </si>
  <si>
    <t>עוף טוב שניצל שומשום גבאי - רובין 9 ק"ג</t>
  </si>
  <si>
    <t>עוף טוב חטיפונים בהכשר הרב רובין 10 ק"ג</t>
  </si>
  <si>
    <t>רצועות פילה עוף שומשום תפזורת הרב רובין - 9 ק"ג</t>
  </si>
  <si>
    <t>מילוטל גזר גמדי - 3 ק"ג</t>
  </si>
  <si>
    <t>מילוטל סהרוני סלרי - 3 ק"ג</t>
  </si>
  <si>
    <t>מילוטל שעועית עדינה שביעית - 3 ק"ג</t>
  </si>
  <si>
    <t>רוטב צלי סופר - 1 ק"ג</t>
  </si>
  <si>
    <t>מאפים קוסקוס בינוני בדצ - 10 ק"ג</t>
  </si>
  <si>
    <t>ביסלי בטעם ברביקיו - 190 גרם</t>
  </si>
  <si>
    <t>מבצע צ'יפסי 3+1 חינם 50*4 גרם</t>
  </si>
  <si>
    <t>חבילה</t>
  </si>
  <si>
    <t>מילוטל תירס גרעינים - 3 ק"ג</t>
  </si>
  <si>
    <t>מילוטל לקט קליפורניה - 3 ק"ג</t>
  </si>
  <si>
    <t>פתיתים אפויים לבבות - 10 ק"ג</t>
  </si>
  <si>
    <t>מילוטל אפונה - 3 ק"ג</t>
  </si>
  <si>
    <t>רוטב סויה בסגנון סיני - 4 ליטר</t>
  </si>
  <si>
    <t>פודינג אינסטנט בטעם שוקולד - 1 ק"ג</t>
  </si>
  <si>
    <t>זארה פארפאלה 31 - 5 ק"ג</t>
  </si>
  <si>
    <t>אבקת מרק ירקות - 1 ק"ג</t>
  </si>
  <si>
    <t>תפוגן טבעות בצל בדצ - 1 ק"ג</t>
  </si>
  <si>
    <t>עוף טוב נקנקיות לוסי מסעדה הרב רובין - 5 ק"ג</t>
  </si>
  <si>
    <t>עסיס חומץ טבעי 5% בנפח - 4 ליטר</t>
  </si>
  <si>
    <t>עסיס מיץ לימון משומר - 4 ליטר</t>
  </si>
  <si>
    <t>זארה ספירלי טריקולורי 57 - 5 ק"ג</t>
  </si>
  <si>
    <t>רוטב חרדל ודבש 5% מיכל - 4 ליטר</t>
  </si>
  <si>
    <t>בייגלה שמיניות קטנות - 400 גרם</t>
  </si>
  <si>
    <t>בלילה - 1 ק"ג</t>
  </si>
  <si>
    <t>רוטב טריאקי מיכל - 4 ליטר</t>
  </si>
  <si>
    <t>בית השיטה מלפפון במלח 81-95 - 9 ליטר</t>
  </si>
  <si>
    <t>רוטב ברביקיו פיקנטי - 4 ליטר</t>
  </si>
  <si>
    <t>פתיתים אפויים אורז - 10 ק"ג</t>
  </si>
  <si>
    <t>אסם פירה - 600 גרם</t>
  </si>
  <si>
    <t>אסם מארז אבקת מרק פטריות - 1*7 ק"ג</t>
  </si>
  <si>
    <t>אסם מארז אבקת מרק בצל - 1*7 ק"ג</t>
  </si>
  <si>
    <r>
      <t xml:space="preserve">מחיר לפני </t>
    </r>
    <r>
      <rPr>
        <u val="singleAccounting"/>
        <sz val="10"/>
        <rFont val="Arial"/>
        <family val="2"/>
      </rPr>
      <t>מע"מ</t>
    </r>
  </si>
  <si>
    <r>
      <t xml:space="preserve">מחיר אחרי </t>
    </r>
    <r>
      <rPr>
        <u val="singleAccounting"/>
        <sz val="10"/>
        <rFont val="Arial"/>
        <family val="2"/>
      </rPr>
      <t>הנחה</t>
    </r>
  </si>
  <si>
    <t>ש.ח.ק. קפואים</t>
  </si>
  <si>
    <t>רובין - אר' מןרטולדה עלית 400 - ברכה - 12 יחידות</t>
  </si>
  <si>
    <t>רובין - אר' פסטרמה ברביקיו עלית 400 - ברכה 12 יחידות</t>
  </si>
  <si>
    <t xml:space="preserve">רובין - אר' חזה עוף - רחובות </t>
  </si>
  <si>
    <t>רובין - אר' עוף 2 - ברכה</t>
  </si>
  <si>
    <t>רובין - אר' כנפיים עוף - ברכה</t>
  </si>
  <si>
    <t>רובין - תפ' שניצל 120 גר' פרוס ממוין - ברכה</t>
  </si>
  <si>
    <t>רובין - תפ' שניצל הודו אמיתי - ברכה</t>
  </si>
  <si>
    <t>רובין - אר' "מ" בשר לחמין - ק.ח.</t>
  </si>
  <si>
    <t>רובין - תפ' שלמה 3 ק"ג - מילוטל</t>
  </si>
  <si>
    <t>רובין - תפ' תירס 3 ק"ג - מילוטל</t>
  </si>
  <si>
    <t>וויטפיש - מילמרט</t>
  </si>
  <si>
    <t>רובין - תפ' "מ" המבורגר - ק.ח.</t>
  </si>
  <si>
    <t>רובין - תפ' נקנקיות בשריות - ברכה</t>
  </si>
  <si>
    <t>רובין - מוסדי טחינה - נחום 3 ק"ג</t>
  </si>
  <si>
    <t>רובין - מוסדי חומוס מזרחי - נחום - 3 ק"ג</t>
  </si>
  <si>
    <t>אר' - נסיכה XL - סק</t>
  </si>
  <si>
    <t>רובין - אר' בשר אדום - ברכה</t>
  </si>
  <si>
    <t>רובין - תפ' גזר גמדי 3 ק"ג  - מילוטל</t>
  </si>
  <si>
    <t>אר' - נסיכה XL - ול</t>
  </si>
  <si>
    <t>רובין - מוסדי שום כתוש - נחום 3 ק"ג</t>
  </si>
  <si>
    <t>רובין - תפ' המבורגר הודו - רחובות</t>
  </si>
  <si>
    <t xml:space="preserve">רובין - אר' חזה עוף - ברכה </t>
  </si>
  <si>
    <t>רובין - תפ' 2 ל.מ. צלעות - ק.ח.</t>
  </si>
  <si>
    <t>רובין - תפ' רולדה מחזה - ברכה</t>
  </si>
  <si>
    <t>רובין - תפ' שניצל ממוין מובחר - ברכה</t>
  </si>
  <si>
    <t>בדץ - תפ' בצק עלים - תהילה</t>
  </si>
  <si>
    <t>רובין - אר' כנפיים עוף - רחובות</t>
  </si>
  <si>
    <t>רובין - אר' נקניק סלמי 500 גרם - ברכה</t>
  </si>
  <si>
    <t>רובין - אר' פסטרמה עוף 500 גרם - ברכה</t>
  </si>
  <si>
    <t>רובין - מוסדי מטבוחה - נחום</t>
  </si>
  <si>
    <t>רובין - אר' גרון הודו (רחובות) - ברכה</t>
  </si>
  <si>
    <t>רובין - תפ' שניצל 100 גר' פרוס ממוין - ברכה</t>
  </si>
  <si>
    <t>רובין - אר' סלמי עלית 400 גרם - ברכה</t>
  </si>
  <si>
    <t>רובין - אר' גכבד צלוי 400 גרם ברכה</t>
  </si>
  <si>
    <t>בדץ - תפ' בצק עלים - טופוד</t>
  </si>
  <si>
    <t>בדץ - תפ' שניצל צמחי - זוגלובק</t>
  </si>
  <si>
    <t>בדץ - אר' צ'יפס תפוגן טוגן 2 ק"ג סם</t>
  </si>
  <si>
    <t>בדץ - תפ' נקנקיות צמחי - זוגלובק</t>
  </si>
  <si>
    <t>בדץ - מוסדי ריצ' קצפת - זן</t>
  </si>
  <si>
    <t>רובין - תפ' כרעיים ממוין מס' 2 - ברכה</t>
  </si>
  <si>
    <t>בדץ - מוסדי צ'יפס 2.5 ק"ג - סם</t>
  </si>
  <si>
    <t>רובין - תפ' שווארמה הודו ל.מ. - ברכה</t>
  </si>
  <si>
    <t>בדץ - תפ' בורקס תפו"א - תהילה</t>
  </si>
  <si>
    <t>רובין - אר' גרון עוף - ברכה</t>
  </si>
  <si>
    <t>בדץ - אר' טבעות בצל - סם</t>
  </si>
  <si>
    <t>רובין - אר' רולדה הודו מאדום - ברכה</t>
  </si>
  <si>
    <t>בדץ - תפ' בורקס תפו"א - טופוד</t>
  </si>
  <si>
    <t>בדץ - מוסדי שניצל תירס 2.4 - זוגלובק</t>
  </si>
  <si>
    <t>בדץ - תפ' שניצל תירס - זוגלובק</t>
  </si>
  <si>
    <t>רובין - תפ' אגרול - מזרחי</t>
  </si>
  <si>
    <t>בדץ - אר' צ'יפס סמיילי 1 ק"ג - סם</t>
  </si>
  <si>
    <t>רובין - תפ' 3 ל.מ. חזה - ק.ח.</t>
  </si>
  <si>
    <t>רובין - תפ' כרעיים ממוין מס' 3 - ברכה</t>
  </si>
  <si>
    <t>מעדני שרפ</t>
  </si>
  <si>
    <t>פסטרמה הודו ואקום 1 ק"ג</t>
  </si>
  <si>
    <t>מחיר לפני מע"מ</t>
  </si>
  <si>
    <t>מחיר אחרי הנחה</t>
  </si>
  <si>
    <t>הערות</t>
  </si>
  <si>
    <t>מחיר אחרי מע"מ</t>
  </si>
  <si>
    <t xml:space="preserve">הנחה </t>
  </si>
  <si>
    <t>מחיר אחרי מע,מ</t>
  </si>
  <si>
    <t xml:space="preserve">מוצר </t>
  </si>
  <si>
    <t>אוסם- קפוא</t>
  </si>
  <si>
    <t xml:space="preserve">קוד </t>
  </si>
  <si>
    <t>רובין-תפ' טחון הודו- רחובות</t>
  </si>
  <si>
    <t xml:space="preserve">שנק דניש קינמון </t>
  </si>
  <si>
    <t>ארגז 6 ק"ג</t>
  </si>
  <si>
    <t>שנציל צמחי 8 ק"ג - שף הטוב</t>
  </si>
  <si>
    <t>חמי בגאט</t>
  </si>
  <si>
    <t>בגאט</t>
  </si>
  <si>
    <t>נסיכהXL</t>
  </si>
  <si>
    <t>רובין-אר' מ' טחון בקר 0.450 ק"ג</t>
  </si>
  <si>
    <t>ק,ג</t>
  </si>
  <si>
    <t>בד"ץ-תפ' קבב צימחי</t>
  </si>
  <si>
    <t>תפ'-פילה מרלוזה ע,ע</t>
  </si>
  <si>
    <t>רובין-תפ' ירוקה 3 ק"ג-מילוטל</t>
  </si>
  <si>
    <t>רובין - אר' פסטרמה ברביקיו 400 גרם - ברכה</t>
  </si>
  <si>
    <t>קווקר</t>
  </si>
  <si>
    <t>סוכר 1 ק,ג סוגת</t>
  </si>
  <si>
    <t>פח זיתים חרוזית 20/17 פ וירק</t>
  </si>
  <si>
    <t>מלח דק 1/12</t>
  </si>
  <si>
    <t>שמן פח 17.4 ליטר סויה בד"ץ</t>
  </si>
  <si>
    <t>קמח רובין 1 ק,ג</t>
  </si>
  <si>
    <t>חמאת בוטנים סקיפי 5 ק"ג בד"ץ</t>
  </si>
  <si>
    <t>ברנפלקס 500 תלמה בד"ץ</t>
  </si>
  <si>
    <t>טונה בשמן 1 רובין</t>
  </si>
  <si>
    <t>שוקו נס 1 ק"ג טופז</t>
  </si>
  <si>
    <t>מיונז דלי 5 ק"ג אוסם בד"ץ</t>
  </si>
  <si>
    <t>שק פסטה צדפים גונדולה בד"ץ</t>
  </si>
  <si>
    <t>שק איטריות רחבות אוסם מס' 14 10 ק"ג</t>
  </si>
  <si>
    <t>שחר שיווק מזון</t>
  </si>
  <si>
    <t>פיטרוזליה בדלי 5 ק"ג</t>
  </si>
  <si>
    <t>יח'</t>
  </si>
  <si>
    <t>5 ק"ג</t>
  </si>
  <si>
    <t>1 ק"ג</t>
  </si>
  <si>
    <t>נייר אפיה גדול 60*40 1000 יח'</t>
  </si>
  <si>
    <t>עגבניות קוביות 3  ק"ג פרי מבורך</t>
  </si>
  <si>
    <t>רובין- תפ' אפונה וגזר 3 ק"ג מילוטל</t>
  </si>
  <si>
    <t>קינואה</t>
  </si>
  <si>
    <t>מילוטל שעועית צהובה שישית 3 ק"ג</t>
  </si>
  <si>
    <t xml:space="preserve"> </t>
  </si>
  <si>
    <t>?</t>
  </si>
  <si>
    <t>רובין - אר' "מ" טחון בקר 0.45 ק"ג - ק.ח.</t>
  </si>
  <si>
    <t>בד"ץ- מוסדי שום כתוש -סלטעים</t>
  </si>
  <si>
    <t>`</t>
  </si>
  <si>
    <t>יח'-50</t>
  </si>
  <si>
    <t>רובין- מאפה בטעם בשר 120 ג'</t>
  </si>
  <si>
    <t>פלאפל אסלי 5 ק"ג</t>
  </si>
  <si>
    <t>רובין-תפ' בורקס תורכי פטריות 120 ג'</t>
  </si>
  <si>
    <t>רובין- תפ' שניצל תירס</t>
  </si>
  <si>
    <t>רובין-טבעות בצל תפ'</t>
  </si>
  <si>
    <t>פתיתי תפו"א 20 ק"ג בד"ץ</t>
  </si>
  <si>
    <t>300 לנדאו</t>
  </si>
  <si>
    <t>המבורגר צימחי</t>
  </si>
  <si>
    <t xml:space="preserve">8 ק"ג </t>
  </si>
  <si>
    <t>גונדולה פתיתים גרמיניונה</t>
  </si>
  <si>
    <t>טייסטרס צ'ויס קפה נמס 200 ג'</t>
  </si>
  <si>
    <t>בד"ץ מוסדי חומוס סלטעים</t>
  </si>
  <si>
    <t>רובין-תפ' קובה ידני-מיזרחי</t>
  </si>
  <si>
    <t>רובין-תפ' סיגר תפו"א-מיזרחי</t>
  </si>
  <si>
    <t>רובין-תפ' פסטל תפו"א</t>
  </si>
  <si>
    <t>רובין -תפ' פסטל תפו"א- מיזרחי</t>
  </si>
  <si>
    <t>קציצות הודו</t>
  </si>
  <si>
    <t xml:space="preserve">ק"ג </t>
  </si>
  <si>
    <t xml:space="preserve">מחיר אחרי הנחה </t>
  </si>
  <si>
    <t>גונדולה ספגטי 5ק"ג</t>
  </si>
  <si>
    <t>גונדולה פתיתים פנה ריגאטה 5 ק"ג</t>
  </si>
  <si>
    <t>3 ק"ג</t>
  </si>
  <si>
    <t>רובין- תפ' המבורגר</t>
  </si>
  <si>
    <t>סלמי</t>
  </si>
  <si>
    <t>רובין- שעועית ירוקה 3 ק"ג</t>
  </si>
  <si>
    <t>קטשופ מסעדות 13 ק"ג</t>
  </si>
  <si>
    <t>שעועית לבנה</t>
  </si>
  <si>
    <t>רובין- ניתחי חזה-ברכה</t>
  </si>
  <si>
    <t>קורנפלקס 750 ג'</t>
  </si>
  <si>
    <t>מרק פיטריות ברמן</t>
  </si>
  <si>
    <t>מיונז דלי תלמה 5 ק"ג</t>
  </si>
  <si>
    <t>לזאניה</t>
  </si>
  <si>
    <t>רכז עגבניות28%</t>
  </si>
  <si>
    <t>בשר לחמין</t>
  </si>
  <si>
    <t>גפלטפייש</t>
  </si>
  <si>
    <t>אורז יסמין</t>
  </si>
  <si>
    <t>רובין-תפ' רולדה הודו</t>
  </si>
  <si>
    <t>גרנולה אוסם</t>
  </si>
  <si>
    <t>זיתים מנזילינו בינוני 9 ל'</t>
  </si>
  <si>
    <t>חומץ ג. שמואל 4 ליטר</t>
  </si>
  <si>
    <t>פסטא ציבעונית</t>
  </si>
  <si>
    <t>10 ק"ג</t>
  </si>
  <si>
    <t>רסק 22 טומטו</t>
  </si>
  <si>
    <t>לימון ג.שמואל</t>
  </si>
  <si>
    <t>4 ל'</t>
  </si>
  <si>
    <t>שוגי  1 ק"ג תלמה</t>
  </si>
  <si>
    <t>סירופ מייפל תלמה</t>
  </si>
  <si>
    <t>פתי בר מצות יהודה</t>
  </si>
  <si>
    <t>3.5 ק"ג</t>
  </si>
  <si>
    <t>קצפת תלמה</t>
  </si>
  <si>
    <t>רוטב טריאקי</t>
  </si>
  <si>
    <t>5 ליטר</t>
  </si>
  <si>
    <t>רוטב סלט שום</t>
  </si>
  <si>
    <t>דבש 1.5 ק"ג</t>
  </si>
  <si>
    <t>נסיכה</t>
  </si>
  <si>
    <t>צימוק לבן</t>
  </si>
  <si>
    <t>תירוש אדום 750 מ"ל</t>
  </si>
  <si>
    <t>שום כתוש</t>
  </si>
  <si>
    <t>3ק"ג</t>
  </si>
  <si>
    <t>רובין-אר' אפונה וגזר</t>
  </si>
  <si>
    <t>סירופ תות,תפוז-אחדות</t>
  </si>
  <si>
    <t>גריקן</t>
  </si>
  <si>
    <t>פנקיק</t>
  </si>
  <si>
    <t>סוכר חום בד"ץ</t>
  </si>
  <si>
    <t>סוכר חום  סוגת</t>
  </si>
  <si>
    <t>ליפטן  אפרסקים</t>
  </si>
  <si>
    <t>6 יח'</t>
  </si>
  <si>
    <t>ספגטי אוסם</t>
  </si>
  <si>
    <t>10 ק,ג</t>
  </si>
  <si>
    <t>ריבת מנות תות-רובין</t>
  </si>
  <si>
    <t>רוטב אלף האיים תלמה</t>
  </si>
  <si>
    <t>תערובת אינגליש שוקו,וניל,תפוז</t>
  </si>
  <si>
    <t>שוקו ברמן -דלי</t>
  </si>
  <si>
    <t>חרדל</t>
  </si>
  <si>
    <t>שקדי מרק וויטה</t>
  </si>
  <si>
    <t>יחידה -1</t>
  </si>
  <si>
    <t>רולדה וויטפיש-500 ג'</t>
  </si>
  <si>
    <t xml:space="preserve">  </t>
  </si>
  <si>
    <t>קוסקוס</t>
  </si>
  <si>
    <t>10ק"ג</t>
  </si>
  <si>
    <t>חמאת בוטנים B&amp;D</t>
  </si>
  <si>
    <t>מאפין 45 ג'</t>
  </si>
  <si>
    <t>קרטון 24 יח</t>
  </si>
  <si>
    <t>קצפת ריץ</t>
  </si>
  <si>
    <t xml:space="preserve">תה </t>
  </si>
  <si>
    <t>2000 מנות</t>
  </si>
  <si>
    <t>אורז חתול</t>
  </si>
  <si>
    <t>רוביו- אר' נתחי חזה-ברכה</t>
  </si>
  <si>
    <t>רובין-כרעיים ממוין מס'-2 רחובות</t>
  </si>
  <si>
    <t>רובין-אר' ירכיים עוף-ברכה</t>
  </si>
  <si>
    <t>רוביון-אר' חזה פרוס עוף-ברכה</t>
  </si>
  <si>
    <t>קפה נמס 0.5</t>
  </si>
  <si>
    <t>פלפל לבן</t>
  </si>
  <si>
    <t>עדשים אדומים</t>
  </si>
  <si>
    <t>גונדולה ספגטי 3  - 5 ק"ג</t>
  </si>
  <si>
    <t>כדורי פלאפל אסלי</t>
  </si>
  <si>
    <t>בלינצ'ס פטריות</t>
  </si>
  <si>
    <t>בלינצ'ס תפו"א</t>
  </si>
  <si>
    <t>סלומון אמרקאי</t>
  </si>
  <si>
    <t>סלומון נרובגי</t>
  </si>
  <si>
    <t>בשר טחון</t>
  </si>
  <si>
    <t>בשר מס' 3</t>
  </si>
  <si>
    <t>המבורגר</t>
  </si>
  <si>
    <t>(38)15.3</t>
  </si>
  <si>
    <t>גרנולה תירפז</t>
  </si>
  <si>
    <t>שעועית חתוכה</t>
  </si>
  <si>
    <t>תירס</t>
  </si>
  <si>
    <t>אסם אטריות דקות - 10ק"ג</t>
  </si>
  <si>
    <t>רובין-תפ' שוארמה הודו עוף טוב</t>
  </si>
  <si>
    <t>מרלוזה</t>
  </si>
  <si>
    <t xml:space="preserve">רוטב סויה תלמה </t>
  </si>
  <si>
    <t>כרעיים מחפוד</t>
  </si>
  <si>
    <t>כנפיים מחפוד</t>
  </si>
  <si>
    <t>תירס רובין</t>
  </si>
  <si>
    <t>אפונה וגזר בדץ</t>
  </si>
  <si>
    <t>שעועית ירוקה</t>
  </si>
  <si>
    <t>סמבוסק בטעם בשר</t>
  </si>
  <si>
    <t>חומוס 3 ק"ג</t>
  </si>
  <si>
    <t>נקניקיות עוף</t>
  </si>
  <si>
    <t>שניצל אמיתי</t>
  </si>
  <si>
    <t>טיראן פרוס</t>
  </si>
  <si>
    <t xml:space="preserve">גבינת שמנת </t>
  </si>
  <si>
    <t>זיתים שחורים גודל 9</t>
  </si>
  <si>
    <t>גפלטפיש בקופסא</t>
  </si>
  <si>
    <t>אחוזה בלוק</t>
  </si>
  <si>
    <t>+</t>
  </si>
  <si>
    <t>מרק פיטריות תלמה</t>
  </si>
  <si>
    <t>קמח תפו"א</t>
  </si>
  <si>
    <t>קקאו</t>
  </si>
  <si>
    <t>קטשופ מנות(500)</t>
  </si>
  <si>
    <t>ג'פטה</t>
  </si>
  <si>
    <t xml:space="preserve">אגוז המלך </t>
  </si>
  <si>
    <t>אננס חתוך</t>
  </si>
  <si>
    <t>אפרסקים</t>
  </si>
  <si>
    <t>ממרח שוקולד אלואדי</t>
  </si>
  <si>
    <t>שבבי תפו"א</t>
  </si>
  <si>
    <t>קפה מגורען כהן</t>
  </si>
  <si>
    <t>קוקטיל פירות</t>
  </si>
  <si>
    <t>מילוטל קוביות דלעת 3ק"ג</t>
  </si>
  <si>
    <t>מלח למדיח</t>
  </si>
  <si>
    <t>מרגרינה ויליפוד</t>
  </si>
  <si>
    <t>20/16</t>
  </si>
  <si>
    <t>תערובת לבראוניס</t>
  </si>
  <si>
    <t>1.8 ק"ג</t>
  </si>
  <si>
    <t>102/90</t>
  </si>
  <si>
    <t>25/24.5</t>
  </si>
  <si>
    <t xml:space="preserve"> 500 ג'</t>
  </si>
  <si>
    <t>שקדי מרק מנה</t>
  </si>
  <si>
    <t>סירופ פרי בו</t>
  </si>
  <si>
    <t>מהודר750 מ"ל</t>
  </si>
  <si>
    <t>תבלין לדגים</t>
  </si>
  <si>
    <t>תבלין לפרגיות</t>
  </si>
  <si>
    <t>1ק"ג</t>
  </si>
  <si>
    <t>פלפל שטה גרוס 1 ק"ג</t>
  </si>
  <si>
    <t>סירופ שוקולד תלמה</t>
  </si>
  <si>
    <t>איטריות קוגל שיבולים</t>
  </si>
  <si>
    <t>סומסום</t>
  </si>
  <si>
    <t>שמן זית</t>
  </si>
  <si>
    <t>חטיף אנרגיה</t>
  </si>
  <si>
    <t>מחית וניל</t>
  </si>
  <si>
    <t>צי'פס</t>
  </si>
  <si>
    <t>תפוגן לבביות</t>
  </si>
  <si>
    <t>מיני שטרודל</t>
  </si>
  <si>
    <t>שניק קינמון/וניל/תפו"ע</t>
  </si>
  <si>
    <t>תפוגן לביבות</t>
  </si>
  <si>
    <t>66,44</t>
  </si>
  <si>
    <t>מרק בצל  בול אוסם</t>
  </si>
  <si>
    <t>שעועות אדומה</t>
  </si>
  <si>
    <t>ג'באני</t>
  </si>
  <si>
    <t>תערובת לפיצה</t>
  </si>
  <si>
    <t>ריץ'</t>
  </si>
  <si>
    <t>4 ליטר</t>
  </si>
  <si>
    <t>גבינה 33%</t>
  </si>
  <si>
    <t>פטה בקר</t>
  </si>
  <si>
    <t>אספטי</t>
  </si>
  <si>
    <t>10 ליטר</t>
  </si>
  <si>
    <t>נס קפה רד מאג 200 ג'</t>
  </si>
  <si>
    <t>אבקת מרק בצל בול</t>
  </si>
  <si>
    <t>אבקת מרק פיטריות בול</t>
  </si>
  <si>
    <t>רוטב עגבניות באבקה</t>
  </si>
  <si>
    <t>רוטב סויה ודבש</t>
  </si>
  <si>
    <t>ליפט אגסים</t>
  </si>
  <si>
    <t>מרק אפונה אוסם</t>
  </si>
  <si>
    <t>קורנפלקס עוז 1 ק"ג</t>
  </si>
  <si>
    <t>קינואה סיגמה 5 ק"ג</t>
  </si>
  <si>
    <t>מרק סופר סופ פטריות</t>
  </si>
  <si>
    <t>מרק סופר סופ ירקות</t>
  </si>
  <si>
    <t>66,70''79,90</t>
  </si>
  <si>
    <t>ריבת תות מיטב 10ק"ג</t>
  </si>
  <si>
    <t>מלית דובדבן 13 ק"ג</t>
  </si>
  <si>
    <t>מרגרינה תלמה</t>
  </si>
  <si>
    <t>קינואה אדומה</t>
  </si>
  <si>
    <t>מרק סופר סופ אפונה</t>
  </si>
  <si>
    <t>שניצל בטטא</t>
  </si>
  <si>
    <t>רול בטטא</t>
  </si>
  <si>
    <t>כדורי בשר מן הצומח</t>
  </si>
  <si>
    <t>אבקת תפו"א</t>
  </si>
  <si>
    <t>טחון מהצומח</t>
  </si>
  <si>
    <t>שניצל תירס טיבעול</t>
  </si>
  <si>
    <t>שניצל מהצומח</t>
  </si>
  <si>
    <t>אבקת סוכר</t>
  </si>
  <si>
    <r>
      <t>14,14.5,</t>
    </r>
    <r>
      <rPr>
        <sz val="10"/>
        <color indexed="10"/>
        <rFont val="Arial"/>
        <family val="2"/>
      </rPr>
      <t>15</t>
    </r>
  </si>
  <si>
    <r>
      <t>15.9'</t>
    </r>
    <r>
      <rPr>
        <sz val="10"/>
        <color indexed="10"/>
        <rFont val="Arial"/>
        <family val="2"/>
      </rPr>
      <t>13.50</t>
    </r>
  </si>
  <si>
    <t>מאפין ממולא</t>
  </si>
  <si>
    <t>סולת</t>
  </si>
  <si>
    <t>פודינג תלמה</t>
  </si>
  <si>
    <r>
      <t>24.65,</t>
    </r>
    <r>
      <rPr>
        <sz val="10"/>
        <color indexed="10"/>
        <rFont val="Arial"/>
        <family val="2"/>
      </rPr>
      <t>18</t>
    </r>
  </si>
  <si>
    <t>קוסברה</t>
  </si>
  <si>
    <t>קורנפלור</t>
  </si>
  <si>
    <r>
      <t>3.85/3.3,</t>
    </r>
    <r>
      <rPr>
        <sz val="10"/>
        <color indexed="10"/>
        <rFont val="Arial"/>
        <family val="2"/>
      </rPr>
      <t>3.1</t>
    </r>
  </si>
  <si>
    <t>קפה 1 ק"ג עלית</t>
  </si>
  <si>
    <t>שקדי מרק דודוביץ</t>
  </si>
  <si>
    <t>תבלין לעוף</t>
  </si>
  <si>
    <t>עוף טוב כדורי עוף</t>
  </si>
  <si>
    <t>גריסי פנינה 5ק"ג</t>
  </si>
  <si>
    <t>דגני בוקר אשבל 1ק"ג</t>
  </si>
  <si>
    <t>כמון</t>
  </si>
  <si>
    <t>מילוטל חומוס</t>
  </si>
  <si>
    <t>צ'ריוס 615 ג'</t>
  </si>
  <si>
    <t>מרק סופר סופ ירקות כתומים</t>
  </si>
  <si>
    <t>1.75</t>
  </si>
  <si>
    <t>35'36</t>
  </si>
  <si>
    <t>רסק 28 יכין</t>
  </si>
  <si>
    <t>ש</t>
  </si>
  <si>
    <t>אפונה וגזר</t>
  </si>
  <si>
    <t>בצל יבש</t>
  </si>
  <si>
    <t>מרק בצל קנור</t>
  </si>
  <si>
    <t>גונדולה קלסיק</t>
  </si>
  <si>
    <t>כנפים מצופים</t>
  </si>
  <si>
    <t>רוטב פיטריות</t>
  </si>
  <si>
    <t>נקניקיות מהצומח</t>
  </si>
  <si>
    <t>ציר עוף 1.2</t>
  </si>
  <si>
    <t>ציר בקר 1.2</t>
  </si>
  <si>
    <t>גילגולי פירה</t>
  </si>
  <si>
    <t>גזר טייני</t>
  </si>
  <si>
    <t>איטריות דקות</t>
  </si>
  <si>
    <t>פירה</t>
  </si>
  <si>
    <t>2ק"ג</t>
  </si>
  <si>
    <t>חלב טרה 1%</t>
  </si>
  <si>
    <t>חלב טרה 3%</t>
  </si>
  <si>
    <t xml:space="preserve">קוטג' </t>
  </si>
  <si>
    <t>שמנת מתוקה 42%</t>
  </si>
  <si>
    <t>מעדן</t>
  </si>
  <si>
    <t>אצבעות שוקולד אישיות</t>
  </si>
  <si>
    <t>6ק"ג</t>
  </si>
  <si>
    <t>קוטג' 5% 250</t>
  </si>
  <si>
    <t>גבינה 5% 250</t>
  </si>
  <si>
    <t>שוקו בשקית</t>
  </si>
  <si>
    <t>סחראי</t>
  </si>
  <si>
    <t>לחמנית קשר(ציפור)</t>
  </si>
  <si>
    <t>אצבע</t>
  </si>
  <si>
    <t>לחמנית המבורגר</t>
  </si>
  <si>
    <t>חצי בגאט</t>
  </si>
  <si>
    <t>חלה מתוקה</t>
  </si>
  <si>
    <t>ביגלה לטוסט</t>
  </si>
  <si>
    <t>רוגלך(לק"ג)</t>
  </si>
  <si>
    <t>פיתה</t>
  </si>
  <si>
    <t>חומוס אחלה לק"ג</t>
  </si>
  <si>
    <t>פופקורן ליח'</t>
  </si>
  <si>
    <t>דוריטוס חמוץ ליח'</t>
  </si>
  <si>
    <t>דוריטוס טיבעי ליח'</t>
  </si>
  <si>
    <t>200ג'</t>
  </si>
  <si>
    <t>תפוציס קטן</t>
  </si>
  <si>
    <t>בולגרית לק"ג</t>
  </si>
  <si>
    <t>גלאט עלים</t>
  </si>
  <si>
    <t>טיראן פתיתים</t>
  </si>
  <si>
    <t>גב. 5% בדצ 2 ק"ג</t>
  </si>
  <si>
    <t>צהובה בלוק חרמון</t>
  </si>
  <si>
    <t>נס קפה עלית 5 ק"ג</t>
  </si>
  <si>
    <t>סיני מיניס 500 ג'</t>
  </si>
  <si>
    <t>רוטב עגבניות עם פלפלים ביוטוני 3 ק"ג</t>
  </si>
  <si>
    <t>רוטב עגבניות לפיצה ביוטוני 4 ק,ג</t>
  </si>
  <si>
    <t>פסטה עוז</t>
  </si>
  <si>
    <r>
      <t>29,</t>
    </r>
    <r>
      <rPr>
        <sz val="10"/>
        <color indexed="10"/>
        <rFont val="Arial"/>
        <family val="2"/>
      </rPr>
      <t>23,24.5</t>
    </r>
  </si>
  <si>
    <t>מיץ לימון הלל 4 ליטר</t>
  </si>
  <si>
    <t>חמוציות</t>
  </si>
  <si>
    <t>טחינה 3 ק"ג אחדות</t>
  </si>
  <si>
    <t>רוטב פיצה עוז</t>
  </si>
  <si>
    <t>A9</t>
  </si>
  <si>
    <t>אורז  וגשל יסמין חמישיות</t>
  </si>
  <si>
    <t>לזניה וילי פוד</t>
  </si>
  <si>
    <t>פסטה וגשל</t>
  </si>
  <si>
    <t>400 ג'</t>
  </si>
  <si>
    <t xml:space="preserve">שמן קנולה </t>
  </si>
  <si>
    <t>מאפית קליינס</t>
  </si>
  <si>
    <t>בייגל קמח מלא</t>
  </si>
  <si>
    <t>בייגל אמריקאי עם תבלינים</t>
  </si>
  <si>
    <t>לחמניות בצל</t>
  </si>
  <si>
    <t>לחמניה רגילה</t>
  </si>
  <si>
    <t>חלה  מתוקה מקמח מלא</t>
  </si>
  <si>
    <t>בן ברוך עידן מחלק ביצים</t>
  </si>
  <si>
    <t>ביצה M</t>
  </si>
  <si>
    <t>מחיר כולל מע"מ</t>
  </si>
  <si>
    <t>הטורטיה</t>
  </si>
  <si>
    <t>מלוח מסעדות</t>
  </si>
  <si>
    <t>5ק"ג</t>
  </si>
  <si>
    <t>ארגז טורטיה</t>
  </si>
  <si>
    <t>200יח</t>
  </si>
  <si>
    <t xml:space="preserve">שעועית ירוקה שלמה </t>
  </si>
  <si>
    <t>פיצה מלבן</t>
  </si>
  <si>
    <t>בצק עלים זוגלובק</t>
  </si>
  <si>
    <t>פלאפל</t>
  </si>
  <si>
    <t xml:space="preserve">בורקס תפו"א </t>
  </si>
  <si>
    <t>בלינ'צס תפו"א</t>
  </si>
  <si>
    <t>מחיר קודם</t>
  </si>
  <si>
    <t>ווגשל(מעודכן ל9.11.16)</t>
  </si>
  <si>
    <t>מלפפון במלח</t>
  </si>
  <si>
    <t>שזיף מגולען</t>
  </si>
  <si>
    <t>בצל מטוגן</t>
  </si>
  <si>
    <t>מיונז ווגשל</t>
  </si>
  <si>
    <t>ממרח ספייסי מיו הלמנס</t>
  </si>
  <si>
    <t>ממרח איולי שום הלמנס 3ק"ג</t>
  </si>
  <si>
    <t>פפריקה מרוקאית מימון</t>
  </si>
  <si>
    <t>טונה וואקום בשמן סויה</t>
  </si>
  <si>
    <t xml:space="preserve">מלח </t>
  </si>
  <si>
    <t>סילאן</t>
  </si>
  <si>
    <t>קרמיות 550 ג'</t>
  </si>
  <si>
    <t>רוטב צילי מתוק מיטב</t>
  </si>
  <si>
    <t>3.8ליטר</t>
  </si>
  <si>
    <t>שמן זית עץ הזית</t>
  </si>
  <si>
    <t>שמן שומשום</t>
  </si>
  <si>
    <t>2ליטר</t>
  </si>
  <si>
    <t>שמרים יבשים</t>
  </si>
  <si>
    <t>500ג</t>
  </si>
  <si>
    <t>תה ויסוצקי פירות מעורב</t>
  </si>
  <si>
    <t>25*6</t>
  </si>
  <si>
    <t>תה ויסוצקי הגן הקסום</t>
  </si>
  <si>
    <t>6*25</t>
  </si>
  <si>
    <t>תירס יכין פרי הגליל</t>
  </si>
  <si>
    <t>אבקת שום</t>
  </si>
  <si>
    <t>אגוזים רבעים</t>
  </si>
  <si>
    <t>אייס וניל</t>
  </si>
  <si>
    <t>אייס קפה</t>
  </si>
  <si>
    <t>צימוקים</t>
  </si>
  <si>
    <t xml:space="preserve">שוקולד מריר כפתורים </t>
  </si>
  <si>
    <t>שוקולד מריר 60% תלמה</t>
  </si>
  <si>
    <t>שקד גפרורים</t>
  </si>
  <si>
    <t>שקד פרוס</t>
  </si>
  <si>
    <t>מלית תפו"ע עינבי ציון 18 ק"ג</t>
  </si>
  <si>
    <t>ביגלה מלוח הדר 300 ג'</t>
  </si>
  <si>
    <t>מרק אפונה קנור</t>
  </si>
  <si>
    <t>שוקולד צ'יפס 5 ק"ג תלמה</t>
  </si>
  <si>
    <t>גבינה 5% סקי</t>
  </si>
  <si>
    <t>גבינה 5% שמנת</t>
  </si>
  <si>
    <t>2 ק"ג</t>
  </si>
  <si>
    <t>רוטב צ'ילי מתוק תומר</t>
  </si>
  <si>
    <t xml:space="preserve">תערובת לסופלה </t>
  </si>
  <si>
    <t>ממרח טפנד זיתים 2.5A</t>
  </si>
  <si>
    <t>ממרח עגבניות2.5A</t>
  </si>
  <si>
    <t>ממרח פלפלים קלויים 2.5A</t>
  </si>
  <si>
    <t>120יח'</t>
  </si>
  <si>
    <t>רביולי בטטא</t>
  </si>
  <si>
    <t>רביולי גבינה</t>
  </si>
  <si>
    <t>וופל עדין 40 יח'</t>
  </si>
  <si>
    <t>כפפות לתנור</t>
  </si>
  <si>
    <t>עדשים אדומים סיגמה לק"ג</t>
  </si>
  <si>
    <t>רוטב פאי תאי תלמה 5 ליטר</t>
  </si>
  <si>
    <t>מיץ ענבים ארזה 750 מל'</t>
  </si>
  <si>
    <t>מרק עגבניות קנור</t>
  </si>
  <si>
    <t>עוגיות כתר ריבה ברמן ק"ג</t>
  </si>
  <si>
    <t>פופקורן 5 ק"ג</t>
  </si>
  <si>
    <t>פלפל שחור</t>
  </si>
  <si>
    <t>פרורי לחם תומר</t>
  </si>
  <si>
    <t>קטשופ 13 ק"ג  היינץ תלמה</t>
  </si>
  <si>
    <t>קורנפלקס קלוגס</t>
  </si>
  <si>
    <t>בורגול עב שוקחה 5 ק"ג</t>
  </si>
  <si>
    <t>מים בטעמים</t>
  </si>
  <si>
    <t>חומוס צבר לק"ג</t>
  </si>
  <si>
    <t>רוגלאך לק"ג</t>
  </si>
  <si>
    <t>מיני קורסון חמאה</t>
  </si>
  <si>
    <t>קוראסון חמאה אישי</t>
  </si>
  <si>
    <t>שניצל אמיתי לציפס לק"ג</t>
  </si>
  <si>
    <t>פאריזרס בייקרי</t>
  </si>
  <si>
    <t>לחמנית קשר מתוק</t>
  </si>
  <si>
    <t>לחמנית אצבע</t>
  </si>
  <si>
    <t>קורנפלקס פרוטיס</t>
  </si>
  <si>
    <t>קרמבו</t>
  </si>
  <si>
    <t>מאפית הרבי</t>
  </si>
  <si>
    <t>לחמנית קשר</t>
  </si>
  <si>
    <t>דונאטס</t>
  </si>
  <si>
    <t>מאפית גידרון</t>
  </si>
  <si>
    <t>בייגל אמריקאי רגיל</t>
  </si>
  <si>
    <t>בייגל כפרי</t>
  </si>
  <si>
    <t>בייגלה ירושלמי</t>
  </si>
  <si>
    <t>בייגל בסגנון רומני קפוא</t>
  </si>
  <si>
    <t>דונטס מטוגן קפוא</t>
  </si>
  <si>
    <t>דונטס בציפוי קקאו וסוכריות דראג'ה</t>
  </si>
  <si>
    <t>דונטס במילוי טעם וניל בציפוי עם שבבי עוגיות</t>
  </si>
  <si>
    <t>דונטס בציפוי עם חתיכות מרשמלו</t>
  </si>
  <si>
    <t>דונטס עם מילוי בטעם קפוצ'ינו</t>
  </si>
  <si>
    <t>דונטס במילוי קרם שוקלד ובציפוי קקאו ועיטורי כדורגל</t>
  </si>
  <si>
    <t>מאפה דונטס פרווה</t>
  </si>
  <si>
    <t>לחם פרוס ללא גלוטן גידרון 500 ג'</t>
  </si>
  <si>
    <t>לחם כפרי פרוס ללא גלוטן 500 ג'</t>
  </si>
  <si>
    <t>ג'בטות ללא גלוטן 360 ג'</t>
  </si>
  <si>
    <t>לחמניות להמבורגר ללא גלוטן 360 ג'</t>
  </si>
  <si>
    <t>לחמניות באגט ללא גלוטן 360 ג'</t>
  </si>
  <si>
    <t>לחמניות אצבע ללא גלוטן 360 ג'</t>
  </si>
  <si>
    <t>בסיסי פיצה אישיים ללא גלוטן 360 ג'</t>
  </si>
  <si>
    <t xml:space="preserve">תחתית פיצה ללא גלוטן מארז מוסדי </t>
  </si>
  <si>
    <t>קרואסון שוקולד אישי</t>
  </si>
  <si>
    <t>רוגלך אישי שוקולד</t>
  </si>
  <si>
    <t>קרואסון בטעם חמאה ענק</t>
  </si>
  <si>
    <t>בורקס שבלול גבינה</t>
  </si>
  <si>
    <t>בורקס שבלול פיצה</t>
  </si>
  <si>
    <t>מאפה גבינה בוקר אישי</t>
  </si>
  <si>
    <t>פאן חמאה אישי</t>
  </si>
  <si>
    <t>מאפין שוקולד ציפס קפוא</t>
  </si>
  <si>
    <t>עוגת מאפין שוקו קפוא</t>
  </si>
  <si>
    <t>עוגת מאפין שוקו וניל קפוא</t>
  </si>
  <si>
    <t>עוגת מאפין תפוז קפוא</t>
  </si>
  <si>
    <t>שרוול מאפין חמישיות - שוקו</t>
  </si>
  <si>
    <t>שרוול מאפין חמישיות - שוקו ציפס</t>
  </si>
  <si>
    <t>קוקויס אגוזים</t>
  </si>
  <si>
    <t>קוקיס שוקולד לבן</t>
  </si>
  <si>
    <t>קוקיס מריר</t>
  </si>
  <si>
    <t>קוקיס שוקלד חלב</t>
  </si>
  <si>
    <t>קוקיס שוקו</t>
  </si>
  <si>
    <t>אצבעות פילו תפוחי עץ</t>
  </si>
  <si>
    <t>אצבעות פילו שוקולד נוגט</t>
  </si>
  <si>
    <t>שנק קינמון</t>
  </si>
  <si>
    <t>גביניות</t>
  </si>
  <si>
    <t>קרואסון קטן</t>
  </si>
  <si>
    <t>ק. ביס שוקולד</t>
  </si>
  <si>
    <t>מאפה דה לה קרם שוקולד</t>
  </si>
  <si>
    <t>מאפה דה לה קרם נוגט</t>
  </si>
  <si>
    <t>עוגת שמרים שוקולד</t>
  </si>
  <si>
    <t>עוגת סבתא שוקולד</t>
  </si>
  <si>
    <t>שטרודל גבינה</t>
  </si>
  <si>
    <t>שטרודל תפ"ע</t>
  </si>
  <si>
    <t>אבקת שוקו</t>
  </si>
  <si>
    <t>אבקת אפיה</t>
  </si>
  <si>
    <t>25 ק"ג</t>
  </si>
  <si>
    <t>גריל עוף</t>
  </si>
  <si>
    <t>געריני דלעת</t>
  </si>
  <si>
    <t>747 ק"ג</t>
  </si>
  <si>
    <t>חומוס</t>
  </si>
  <si>
    <t>טחינה אתיופית</t>
  </si>
  <si>
    <t>כורכום</t>
  </si>
  <si>
    <t>מרק עוף</t>
  </si>
  <si>
    <t>סודה טמפו</t>
  </si>
  <si>
    <t>עוגיות אוזניים שוקולד אנטקוביץ</t>
  </si>
  <si>
    <t>600 ג'</t>
  </si>
  <si>
    <t>עוגיות שומשום רובין</t>
  </si>
  <si>
    <t>עוגיות ריבה אנטקוביץ</t>
  </si>
  <si>
    <t>עוגיות רייף אנטקוביץ</t>
  </si>
  <si>
    <t>פסטה ברגים</t>
  </si>
  <si>
    <t>פסטה ספגטי</t>
  </si>
  <si>
    <t>פפסי מקס</t>
  </si>
  <si>
    <t>פפסי קולה</t>
  </si>
  <si>
    <t>מאפיית פאי הכפר</t>
  </si>
  <si>
    <t>קוקיס ענק פרווה</t>
  </si>
  <si>
    <t>בסיס לפיצה ללא גלוטן</t>
  </si>
  <si>
    <t>בורקס תפו"א ללא גלוטן</t>
  </si>
  <si>
    <t>בורקס גבינה ללא גלוטן</t>
  </si>
  <si>
    <t>ביסלי בטעם פיצה - 200 גרם</t>
  </si>
  <si>
    <t>בנזור רוגלעך</t>
  </si>
  <si>
    <t>6 ק"ג</t>
  </si>
  <si>
    <t>בנזור אצבעות עם מלית וניל</t>
  </si>
  <si>
    <t>בנזור ביס שוקולד</t>
  </si>
  <si>
    <t>בנזור תפוחים שמרים</t>
  </si>
  <si>
    <t>בנזור גביניות</t>
  </si>
  <si>
    <t>בנזור קרואסון חממה חלבי</t>
  </si>
  <si>
    <t>92*45 ג'</t>
  </si>
  <si>
    <t>מוצרלה רסק מוסדי</t>
  </si>
  <si>
    <t>עמק 28% פרוס</t>
  </si>
  <si>
    <t>נפולאון</t>
  </si>
  <si>
    <t>1.5 ק"ג</t>
  </si>
  <si>
    <t xml:space="preserve">פתיתי עמק </t>
  </si>
  <si>
    <t>חלב כד מהדרין</t>
  </si>
  <si>
    <t>2 ליטר</t>
  </si>
  <si>
    <t>משקה שיבולת שועל</t>
  </si>
  <si>
    <t>קצפת 500</t>
  </si>
  <si>
    <t>יופלה תות</t>
  </si>
  <si>
    <t>מאגדת מיני קרלו</t>
  </si>
  <si>
    <t>חמאה 200 ג' מהדרין</t>
  </si>
  <si>
    <t xml:space="preserve">רסק עגבניות </t>
  </si>
  <si>
    <t>יופלה אננס</t>
  </si>
  <si>
    <t>יופלה אפרסק</t>
  </si>
  <si>
    <t>מגורדת לפיצה</t>
  </si>
  <si>
    <t>שמנית ארגינל</t>
  </si>
  <si>
    <t>אשל 4.5%</t>
  </si>
  <si>
    <t>גיל 125 מ"ל</t>
  </si>
  <si>
    <t xml:space="preserve">גבינה 9% </t>
  </si>
  <si>
    <t>סויה טבעי</t>
  </si>
  <si>
    <t>סויה ללא סוכר</t>
  </si>
  <si>
    <t>משקה אורז ושקדים</t>
  </si>
  <si>
    <t>קרלו אקס וניל</t>
  </si>
  <si>
    <t>קרלו אקספ שוקולד</t>
  </si>
  <si>
    <t>שמנית 38%</t>
  </si>
  <si>
    <t>500 מ"ל</t>
  </si>
  <si>
    <t>חלב 1.5 3%</t>
  </si>
  <si>
    <t>שמנית 9% חצי מנה</t>
  </si>
  <si>
    <t>גבינת חמד</t>
  </si>
  <si>
    <t>חלב 3% 1 ליטר קרטון</t>
  </si>
  <si>
    <t>קוביות בולגרית</t>
  </si>
  <si>
    <t>מאגדת יופלה מעודן בדץ</t>
  </si>
  <si>
    <t>מעדן סויה וניל</t>
  </si>
  <si>
    <t>מעדן סויה שוקולד</t>
  </si>
  <si>
    <t>מעדן סויה טופי כרמל</t>
  </si>
  <si>
    <t>סויה ביו תות</t>
  </si>
  <si>
    <t>לחמניה מתוקה</t>
  </si>
  <si>
    <t>לחמניה אצבע</t>
  </si>
  <si>
    <t>מאפים מעורב</t>
  </si>
  <si>
    <t>פיתות רגיל</t>
  </si>
  <si>
    <t>לחמנייה המבורגר</t>
  </si>
  <si>
    <t>לחמניית באגט ארוך</t>
  </si>
  <si>
    <t>פילו ת"ע</t>
  </si>
  <si>
    <t>בייגל אמריקאי חצי אפוי</t>
  </si>
  <si>
    <t>בייגל אמריקאי כפרי</t>
  </si>
  <si>
    <t>כדור פיצה</t>
  </si>
  <si>
    <t>עוגת מוס עם ריבת חלב ושוקולד</t>
  </si>
  <si>
    <t>שנק צימוקים קטן</t>
  </si>
  <si>
    <t>עוגת פס מוס טירמיסו</t>
  </si>
  <si>
    <t xml:space="preserve">עוגת פס מוס מוצרט </t>
  </si>
  <si>
    <t>עוגת פס מוס שני שוקולדים</t>
  </si>
  <si>
    <t>עוגת פס מוס רייבת חלב</t>
  </si>
  <si>
    <t>חמישיות מאפינס אישי שוקו</t>
  </si>
  <si>
    <t>חמישיות מאפינס אישי שוקו ציפס</t>
  </si>
  <si>
    <t>עוגת קרנץ במלוי קינמון דה לה קרם</t>
  </si>
  <si>
    <t>שוופס סודה בטעמים 1.5 (4)</t>
  </si>
  <si>
    <t>טורקי פטריות</t>
  </si>
  <si>
    <t>חצי באגט חצי אפוי</t>
  </si>
  <si>
    <t>חצי באגט 180 קפוא</t>
  </si>
  <si>
    <t>פיתה אסלית</t>
  </si>
  <si>
    <t>פיצה פפקטו</t>
  </si>
  <si>
    <t>חצי ג'בטה</t>
  </si>
  <si>
    <t>סופניה מטוגנת קפואה</t>
  </si>
  <si>
    <t>בסיס לפיצה מרודדת</t>
  </si>
  <si>
    <t>מאפה דונטס מצופה קקאו פרווה</t>
  </si>
  <si>
    <t>פאי הכפר</t>
  </si>
  <si>
    <t>קוקוס לבן</t>
  </si>
  <si>
    <t>קוקוס שחור</t>
  </si>
  <si>
    <t>חומציות</t>
  </si>
  <si>
    <t>מי עין גדי (6)</t>
  </si>
  <si>
    <t>קמח לבן מנופה</t>
  </si>
  <si>
    <t xml:space="preserve">קפה מגועו מנות </t>
  </si>
  <si>
    <t>600 יחי'</t>
  </si>
  <si>
    <t>רוטב בברבקיו מיטב</t>
  </si>
  <si>
    <t>רוטב פסטה</t>
  </si>
  <si>
    <t>2.5 ליטר</t>
  </si>
  <si>
    <t>שבבי בצל יבש</t>
  </si>
  <si>
    <t>שמן זית סבא</t>
  </si>
  <si>
    <t>3.8 ליטר</t>
  </si>
  <si>
    <t>1 ליטר</t>
  </si>
  <si>
    <t xml:space="preserve">תירס </t>
  </si>
  <si>
    <t>2.5 ק"ג</t>
  </si>
  <si>
    <t>500 ג'</t>
  </si>
  <si>
    <t>לזניה תומר</t>
  </si>
  <si>
    <t>חציל קלוי על האש</t>
  </si>
  <si>
    <t>מיץ ענבים הלל</t>
  </si>
  <si>
    <t>מיץ ענבים טעמן</t>
  </si>
  <si>
    <t>ממרח שוקולד בדץ</t>
  </si>
  <si>
    <t>סינרים</t>
  </si>
  <si>
    <t>25 יחי'</t>
  </si>
  <si>
    <t>עגבניו מרוסקות ויטה</t>
  </si>
  <si>
    <t>עדשים ירוקים סוגת</t>
  </si>
  <si>
    <t>פולפה</t>
  </si>
  <si>
    <t>ציפורן</t>
  </si>
  <si>
    <t>קורנפלקס עוגי</t>
  </si>
  <si>
    <t>רוטב יין אדום</t>
  </si>
  <si>
    <t>רוטב סצואן</t>
  </si>
  <si>
    <t>רוטב צ'ילי מתוק מיטב</t>
  </si>
  <si>
    <t>רוטב שום</t>
  </si>
  <si>
    <t>ריבת תות מיטב</t>
  </si>
  <si>
    <t>שוגי  תלמה</t>
  </si>
  <si>
    <t>תרכיז תפוזים</t>
  </si>
  <si>
    <t>650 מ"ל</t>
  </si>
  <si>
    <t>מיץ ענבים קדם</t>
  </si>
  <si>
    <t>750 מ"ל</t>
  </si>
  <si>
    <t>כיס תפו"ע</t>
  </si>
  <si>
    <t>מיני רוגלעך בטעם שוקולד</t>
  </si>
  <si>
    <t>סמבוסק פיצה</t>
  </si>
  <si>
    <t>כיס אוכמניות</t>
  </si>
  <si>
    <t>קרואסון ביס</t>
  </si>
  <si>
    <t>קוקיס חלב</t>
  </si>
  <si>
    <t>קוקיס לבן</t>
  </si>
  <si>
    <t>שנק עם פיצה וזיתים</t>
  </si>
  <si>
    <t>עוגת מאפינס אגוזים</t>
  </si>
  <si>
    <t>לחמניות המבורגר קפואה</t>
  </si>
  <si>
    <t>כרית קרצוף לכלים</t>
  </si>
  <si>
    <t>24 יחי'</t>
  </si>
  <si>
    <t>פסטה ללא גלוטן</t>
  </si>
  <si>
    <t>400 גר'</t>
  </si>
  <si>
    <t>רוטב פיצה בדץ</t>
  </si>
  <si>
    <t>4 ק"ג</t>
  </si>
  <si>
    <t>אגוז מלך</t>
  </si>
  <si>
    <t>דוריטוס חמוץ</t>
  </si>
  <si>
    <t>185 גר'</t>
  </si>
  <si>
    <t>וייגן ביס מיקס למנות טבעוניות</t>
  </si>
  <si>
    <t>ממרח אבוקדו</t>
  </si>
  <si>
    <t>תערובת לעוגה</t>
  </si>
  <si>
    <t>המוצר</t>
  </si>
  <si>
    <t>פעמית.ח</t>
  </si>
  <si>
    <t>דלאס</t>
  </si>
  <si>
    <t>G7 4*4</t>
  </si>
  <si>
    <t>אבקת פרפקטו להשריה</t>
  </si>
  <si>
    <t>אובלי לסלט קסרול</t>
  </si>
  <si>
    <t>אובלי פלסטיק</t>
  </si>
  <si>
    <t>אלומניום 45 ס"מ</t>
  </si>
  <si>
    <t>אשפתון 75*85 שחור</t>
  </si>
  <si>
    <t xml:space="preserve">אשפתון רול אנד באג 50*70 </t>
  </si>
  <si>
    <t xml:space="preserve">גביע 1000 </t>
  </si>
  <si>
    <t>גביע קומפלט 500 סמ"ק 1000 יח'</t>
  </si>
  <si>
    <t>גליל ניילון חלבי/שקוף-לק"ג</t>
  </si>
  <si>
    <t>ווקס 4 ליטר</t>
  </si>
  <si>
    <t xml:space="preserve">חומר לניקוי ריצפה ריח </t>
  </si>
  <si>
    <t>חיממויות ג'ל</t>
  </si>
  <si>
    <t>כוס  פלסטיק קשיח</t>
  </si>
  <si>
    <t>כוס B8 נייר  40 יח'</t>
  </si>
  <si>
    <t>כוס גבעולים 1/750 שקוף</t>
  </si>
  <si>
    <t>כוס נייר 9 1000</t>
  </si>
  <si>
    <t>כוס פלסטיק 180 1/100</t>
  </si>
  <si>
    <t>כוס פלסטיק שקוף 50 יחי'</t>
  </si>
  <si>
    <t>כוסות נייר 7 1000</t>
  </si>
  <si>
    <t>כף פלסטיק איכותי יהלום 50יח'</t>
  </si>
  <si>
    <t>כפות פלסטיק פשוטה 1/100</t>
  </si>
  <si>
    <t>כפפות לטקס ללא טלק</t>
  </si>
  <si>
    <t>כרית יפנית</t>
  </si>
  <si>
    <t>מברשת אסלה</t>
  </si>
  <si>
    <t>מגבת 1824 מ'</t>
  </si>
  <si>
    <t>מגש אובלי 20יח</t>
  </si>
  <si>
    <t>מחבת 27</t>
  </si>
  <si>
    <t>מטאטא איטלקי .30 ס"מ</t>
  </si>
  <si>
    <t>מטהר אוויר</t>
  </si>
  <si>
    <t>מטליות *250יח'</t>
  </si>
  <si>
    <t>מטליות38/38 שלישיה</t>
  </si>
  <si>
    <t>מיכל 4.5 ליטר(ישן)</t>
  </si>
  <si>
    <t>מכסה ל2,1 ליטר הגיבור 1/400</t>
  </si>
  <si>
    <t>מכסה למיכל 4.5 240יח'</t>
  </si>
  <si>
    <t xml:space="preserve">מסיר שומנים פרפקטו קר 6 ק"ג </t>
  </si>
  <si>
    <t>מפיות ספנסי 0100 יח'</t>
  </si>
  <si>
    <t>מפיות רשת</t>
  </si>
  <si>
    <t>מפת נילון 1 ק"ג</t>
  </si>
  <si>
    <t>מפת נילון גליל 60 ס"מ</t>
  </si>
  <si>
    <t xml:space="preserve">מקל עץ </t>
  </si>
  <si>
    <t>נוזל הברקה למדיח 25 ליטר</t>
  </si>
  <si>
    <t>נוזל להדחת כלים 4/4 ליר</t>
  </si>
  <si>
    <t>נוזל לשטיפת רצפות 4*4 ליטר בזוקה</t>
  </si>
  <si>
    <t>נוזל רב עוצמה MP700 4 ליטר</t>
  </si>
  <si>
    <t>נוזל ריצפה רקפת 4ליטר</t>
  </si>
  <si>
    <t>נוזל שטיפהב יומי S255</t>
  </si>
  <si>
    <t>נזל ריצפה ירוק 4/4 ליטר</t>
  </si>
  <si>
    <t>נייר אלומניום 50 מ' 18 מיקרון</t>
  </si>
  <si>
    <t>נייר אלומניום 65 מ'</t>
  </si>
  <si>
    <t>נייר אפיה 60/40  1/1000 סיליקון</t>
  </si>
  <si>
    <t xml:space="preserve">נייר ניגוב בגליל טישו 150 מ'no touch , </t>
  </si>
  <si>
    <t>נייר ניגוב גליל 304 מ'</t>
  </si>
  <si>
    <t>נייר ניגוב קונטרול טבעי100 מ(למטבח)</t>
  </si>
  <si>
    <t>נייר שבת(9000) ממוחזר</t>
  </si>
  <si>
    <t>נילון בגליל שחור-50</t>
  </si>
  <si>
    <t>נילון חזק לפחים גודולים 15 מיקרון 1000</t>
  </si>
  <si>
    <t>נילון מצמד שלישיה</t>
  </si>
  <si>
    <t>נילון ניצמד 1.3 ק"ג</t>
  </si>
  <si>
    <t>נילון ניצמד 200 מ'</t>
  </si>
  <si>
    <t>סבון כלים</t>
  </si>
  <si>
    <t>סבון למדיח 25 ליטר</t>
  </si>
  <si>
    <t>סבון קצף 6 יח'</t>
  </si>
  <si>
    <t>סביון 20 ליטר</t>
  </si>
  <si>
    <t>סול צלחת אובלית</t>
  </si>
  <si>
    <t>סחבה 50*80</t>
  </si>
  <si>
    <t>סינור נילון</t>
  </si>
  <si>
    <t>סינר ח"דד נילון 100 יח'</t>
  </si>
  <si>
    <t>סכינים פלסטיק פשוט  1/100</t>
  </si>
  <si>
    <t>ספריי מחטא ומשמיד חיידקים יעקובי דיסטול</t>
  </si>
  <si>
    <t>סקוטש 1 מטר</t>
  </si>
  <si>
    <t>פלסמאפ 1000 יח'</t>
  </si>
  <si>
    <t>פרש אוטומטי 12 יח'</t>
  </si>
  <si>
    <t>צלחות קלקר אובלי 9/11</t>
  </si>
  <si>
    <t>צלחת  9 קשיחה פלסטיק</t>
  </si>
  <si>
    <t>צלחת אובלית ציבעונית 7</t>
  </si>
  <si>
    <t>צלחת אובלית ציבעונית 9</t>
  </si>
  <si>
    <t>צלחת פלסטיק לבן קשיח1/1000</t>
  </si>
  <si>
    <t>קאלק</t>
  </si>
  <si>
    <t>קסרול</t>
  </si>
  <si>
    <t>ריץ-8 5ליטר</t>
  </si>
  <si>
    <t>רשת למשתנות+אבן ריחני</t>
  </si>
  <si>
    <t>שקיות 50*70 50 יח'</t>
  </si>
  <si>
    <t>שקיות 75*90 כתום</t>
  </si>
  <si>
    <t>שקיות 75*90 שחור</t>
  </si>
  <si>
    <t>שקיות 83/102 250 יח'</t>
  </si>
  <si>
    <t>שקיות אשפה אקסטרה חזק</t>
  </si>
  <si>
    <t>תבניות ענק(29*23)</t>
  </si>
  <si>
    <t>תבנית אינגליש</t>
  </si>
  <si>
    <t>תבנית אלומניום 390</t>
  </si>
  <si>
    <t>תבנית גסטרונום 120</t>
  </si>
  <si>
    <t>תבנית גסטרונום 40/50(1/50)</t>
  </si>
  <si>
    <t>תבנית גסטרונום(1/75)</t>
  </si>
  <si>
    <t xml:space="preserve">מרקיה קלקר 1/500 </t>
  </si>
  <si>
    <t>10+1</t>
  </si>
  <si>
    <t xml:space="preserve">כוס cc180   </t>
  </si>
  <si>
    <t>מרקיה צבעונית קשיחה</t>
  </si>
  <si>
    <t xml:space="preserve">קערת קשתות </t>
  </si>
  <si>
    <t xml:space="preserve">צלחת 7 צבעונית קשיחה </t>
  </si>
  <si>
    <t>צלחת 9 צבעונית קשיחה</t>
  </si>
  <si>
    <t>כמות</t>
  </si>
  <si>
    <t>קערת פירות</t>
  </si>
  <si>
    <t>מפיות סביון</t>
  </si>
  <si>
    <t>מיכל 2 ליטר</t>
  </si>
  <si>
    <t>מפת שולחן אלבד</t>
  </si>
  <si>
    <t>100 מטר</t>
  </si>
  <si>
    <t xml:space="preserve">תבנית גסטרונום (210/99) </t>
  </si>
  <si>
    <t xml:space="preserve">כף צבעוני קרם </t>
  </si>
  <si>
    <t>כוס יהלום</t>
  </si>
  <si>
    <t>מיכל 1 ליטר</t>
  </si>
  <si>
    <t xml:space="preserve">תבנית אלומניום 105 </t>
  </si>
  <si>
    <t>מגש אובלי עמוק קשיחה</t>
  </si>
  <si>
    <t>ניילון ניצמד 150 מטר</t>
  </si>
  <si>
    <t>תבנית אלמניום A8</t>
  </si>
  <si>
    <t>אקונומיקה</t>
  </si>
  <si>
    <t>4*4</t>
  </si>
  <si>
    <t xml:space="preserve">נייר טאלט פטנט </t>
  </si>
  <si>
    <t>נייר מגבת 183 מטר</t>
  </si>
  <si>
    <t xml:space="preserve">נייר מגבת צץ רץ </t>
  </si>
  <si>
    <t xml:space="preserve">נייר טולאט צץ רץ </t>
  </si>
  <si>
    <t>לונה סבון למתקנים ידים</t>
  </si>
  <si>
    <t xml:space="preserve">דאלאס לניקוי כללי </t>
  </si>
  <si>
    <t>מטאטא ג'וליה</t>
  </si>
  <si>
    <t>מגב מתכת 60 ס"מ</t>
  </si>
  <si>
    <t>יעה עם גומי + מקל עומד</t>
  </si>
  <si>
    <t>דאלאס נוזל מבושם לנקוי רצפות</t>
  </si>
  <si>
    <t>אסלית נוזל חומצי לניקוי וחיטוי אסלות</t>
  </si>
  <si>
    <t>עוגת בבקה עם אגוזים ודבש - אפוי קפוא</t>
  </si>
  <si>
    <t>עוגת דבש עם תפוחים ואגוזים - קפואה</t>
  </si>
  <si>
    <t>חמישיות מאפינס אישי דבש</t>
  </si>
  <si>
    <t>קרואסון בטעם חמאה פרווה</t>
  </si>
  <si>
    <t>מאפה פרג</t>
  </si>
  <si>
    <t>שנק עם מילוי פיצה וזיתים</t>
  </si>
  <si>
    <t>עוגת מאפינס תפוח עץ</t>
  </si>
  <si>
    <t>עוגת דבש קפואה</t>
  </si>
  <si>
    <t>עוגת שמרים גבינה</t>
  </si>
  <si>
    <t>הודיה פלסט</t>
  </si>
  <si>
    <t xml:space="preserve">שקיות גופיה 50/60 </t>
  </si>
  <si>
    <t>גלילי נילון שקוף רוחב 60 נפתח ל - 2 ס"מ</t>
  </si>
  <si>
    <t xml:space="preserve">שקיות אשפה 80/90 </t>
  </si>
  <si>
    <t>מחיר</t>
  </si>
  <si>
    <t xml:space="preserve">ריצפון אנטי קצף </t>
  </si>
  <si>
    <t>כפפות לטקס M</t>
  </si>
  <si>
    <t>נייר תעשיתי רוחב 23</t>
  </si>
  <si>
    <t xml:space="preserve">מטליות </t>
  </si>
  <si>
    <t xml:space="preserve">אפונה </t>
  </si>
  <si>
    <t>גומי</t>
  </si>
  <si>
    <t>ווגשל</t>
  </si>
  <si>
    <t>חומץ טבעי</t>
  </si>
  <si>
    <t>חיטה תפוחה שלווה</t>
  </si>
  <si>
    <t>טונה בשמן בית יוסף</t>
  </si>
  <si>
    <t xml:space="preserve">כוס B8 נייר  </t>
  </si>
  <si>
    <t xml:space="preserve">מיונז דלי אוסם </t>
  </si>
  <si>
    <t xml:space="preserve">מיץ לימון </t>
  </si>
  <si>
    <t>400 ק"ג</t>
  </si>
  <si>
    <t>נודלס</t>
  </si>
  <si>
    <t>9 ק"ג</t>
  </si>
  <si>
    <t>סוכר לבן</t>
  </si>
  <si>
    <t xml:space="preserve">סירופ מייפל </t>
  </si>
  <si>
    <t xml:space="preserve">עדשים ירוקים </t>
  </si>
  <si>
    <t xml:space="preserve">פרורי לחם </t>
  </si>
  <si>
    <t xml:space="preserve"> 10 ק"ג</t>
  </si>
  <si>
    <t>פסטה פנה</t>
  </si>
  <si>
    <t xml:space="preserve">פפריקה מרוקאית </t>
  </si>
  <si>
    <t>קטשוף</t>
  </si>
  <si>
    <t>קטשוף פאוצ</t>
  </si>
  <si>
    <t>13 ק"ג</t>
  </si>
  <si>
    <t xml:space="preserve">קפה נמס מגורען </t>
  </si>
  <si>
    <t>רוטב אלף האיים לייט</t>
  </si>
  <si>
    <t xml:space="preserve">רוטב בברבקיו </t>
  </si>
  <si>
    <t>רוטב ויניגרט הדרים</t>
  </si>
  <si>
    <t>4.6 ליטר</t>
  </si>
  <si>
    <t xml:space="preserve">שמן זית </t>
  </si>
  <si>
    <t>מיכל מיני בר נמוך</t>
  </si>
  <si>
    <t>פסטה קרנים</t>
  </si>
  <si>
    <t xml:space="preserve">שקיות אוכל נשלפות </t>
  </si>
  <si>
    <t>3*3</t>
  </si>
  <si>
    <t>אבקה להכנת פירה</t>
  </si>
  <si>
    <t>כפפות ניטריל S</t>
  </si>
  <si>
    <t>וופל שוקולד</t>
  </si>
  <si>
    <t>מאפינס שוקולד</t>
  </si>
  <si>
    <t>מאפינס שוקו ציפס</t>
  </si>
  <si>
    <t>ממרח שוקולד מנות</t>
  </si>
  <si>
    <t>קטשופ מנות בשקוביץ</t>
  </si>
  <si>
    <t>קטשופ מנות אוסם</t>
  </si>
  <si>
    <t>רוטב אלף האיים מנות בשקוביץ</t>
  </si>
  <si>
    <t>רוטב אלף האיים מנות תלמה</t>
  </si>
  <si>
    <t>תירס המרכז</t>
  </si>
  <si>
    <t>תירס המרכז A9</t>
  </si>
  <si>
    <t>ריבה מנות תות</t>
  </si>
  <si>
    <t>ריבה מנות אפרסק / דובדבן</t>
  </si>
  <si>
    <t>אגוז מוסקט</t>
  </si>
  <si>
    <t>גריסים סוגת</t>
  </si>
  <si>
    <t>גריסי פנינה שוקחה</t>
  </si>
  <si>
    <t>געריני פופקורן</t>
  </si>
  <si>
    <t xml:space="preserve">דגני בוקר אשבול </t>
  </si>
  <si>
    <t>כפפות ניטריל M</t>
  </si>
  <si>
    <t>מאנצ'ס</t>
  </si>
  <si>
    <t>מפת נילון לשולחן שקוף</t>
  </si>
  <si>
    <t>נתחי טונה</t>
  </si>
  <si>
    <t>80 ג'</t>
  </si>
  <si>
    <t xml:space="preserve">סוכר חום </t>
  </si>
  <si>
    <t xml:space="preserve">קורנפלקס קלוגס </t>
  </si>
  <si>
    <t>קפה שחור מוסדי</t>
  </si>
  <si>
    <t>רוטב פסטה/פיצה</t>
  </si>
  <si>
    <t xml:space="preserve">שוגי </t>
  </si>
  <si>
    <t xml:space="preserve">שמן סויה </t>
  </si>
  <si>
    <t>4.35 ליטר</t>
  </si>
  <si>
    <t>שעועות לבנה</t>
  </si>
  <si>
    <t xml:space="preserve">תערובת לפרגיות </t>
  </si>
  <si>
    <t>איטריות דקיקות</t>
  </si>
  <si>
    <t>איטריות קוגל</t>
  </si>
  <si>
    <t>אפרסקים חצאים</t>
  </si>
  <si>
    <t>טחינה</t>
  </si>
  <si>
    <t>כפפות ניטריל L/M/XL</t>
  </si>
  <si>
    <t>מזרה חום לעוגה</t>
  </si>
  <si>
    <t>200 ג'</t>
  </si>
  <si>
    <t xml:space="preserve">מרק פיטריות </t>
  </si>
  <si>
    <t>תבניות מאפינס קוטר 6.5</t>
  </si>
  <si>
    <t>לפתניה צבוענית</t>
  </si>
  <si>
    <t>סחוג אדום</t>
  </si>
  <si>
    <t xml:space="preserve">עדשים אדומים </t>
  </si>
  <si>
    <t xml:space="preserve">קינואה </t>
  </si>
  <si>
    <t>ק"ג 1</t>
  </si>
  <si>
    <t>שמן חמניות</t>
  </si>
  <si>
    <t>אבקת רוטב צילי</t>
  </si>
  <si>
    <t xml:space="preserve">דבש </t>
  </si>
  <si>
    <t>דוריטוס גריל / טבעי</t>
  </si>
  <si>
    <t>יין אדום יבש</t>
  </si>
  <si>
    <t>עוגיות אוזניים/מלוחות/מעמול/פרסה וניל אנטקוביץ</t>
  </si>
  <si>
    <t>פלפל שטה גרוס וגשל</t>
  </si>
  <si>
    <t>פלפל שטה גרוס בר מן</t>
  </si>
  <si>
    <t xml:space="preserve">קפה מגורען מנות </t>
  </si>
  <si>
    <t>רוטב עגבניות פיקנטי</t>
  </si>
  <si>
    <t>תיבול לאורז</t>
  </si>
  <si>
    <t xml:space="preserve">תערובת אושפלו </t>
  </si>
  <si>
    <t>750 ג'</t>
  </si>
  <si>
    <t>820 ג'</t>
  </si>
  <si>
    <t>821 ג'</t>
  </si>
  <si>
    <t>474 ג'</t>
  </si>
  <si>
    <t xml:space="preserve">500 ג' </t>
  </si>
  <si>
    <t>470 ג'</t>
  </si>
  <si>
    <t>70 ג'</t>
  </si>
  <si>
    <t>בייגל רומני אפוי קפוא</t>
  </si>
  <si>
    <t>סבון ידיים</t>
  </si>
  <si>
    <t>מזלג צבעוני קרם</t>
  </si>
  <si>
    <t xml:space="preserve">כפיות תה </t>
  </si>
  <si>
    <t>כוס ספיר cc200</t>
  </si>
  <si>
    <t>מאפינס קטן</t>
  </si>
  <si>
    <t>אובלי קלקר 1/600</t>
  </si>
  <si>
    <t>סכין צבעוני קרם</t>
  </si>
  <si>
    <t>צלחת 9 קלקר 1/500</t>
  </si>
  <si>
    <t>מאפה יווני פיצה</t>
  </si>
  <si>
    <t>דונטס במלוי קרם בטעם דובדבנים</t>
  </si>
  <si>
    <t>מיני סופגניה</t>
  </si>
  <si>
    <t>אבקה להכנת אייס קפה</t>
  </si>
  <si>
    <t>וופל מצופה</t>
  </si>
  <si>
    <t>מלח טבליות למדיח</t>
  </si>
  <si>
    <t xml:space="preserve">ממרח אבוקדו </t>
  </si>
  <si>
    <t>מרק ירקות</t>
  </si>
  <si>
    <t>נתחי טונה בשמן פרינס</t>
  </si>
  <si>
    <t>960 ג'</t>
  </si>
  <si>
    <t>רוטב ויניגרט הדרים לייט</t>
  </si>
  <si>
    <t>רוטב חרדל ודבש</t>
  </si>
  <si>
    <t>רוטב קיסר</t>
  </si>
  <si>
    <t>רסק עגבניות 28%</t>
  </si>
  <si>
    <t>ביסלי</t>
  </si>
  <si>
    <t>בוטנים מטוגנים</t>
  </si>
  <si>
    <t>ביגלה מלוח הדר</t>
  </si>
  <si>
    <t>300 ג"</t>
  </si>
  <si>
    <t>ברנפלקס תלמה בד"ץ</t>
  </si>
  <si>
    <t>זוג כפפות לתנור</t>
  </si>
  <si>
    <t>כרית קירצוף לכלים ננס קטן</t>
  </si>
  <si>
    <t xml:space="preserve">מיץ ענבים ארזה </t>
  </si>
  <si>
    <t>9 ליטר</t>
  </si>
  <si>
    <t>ממרח פסטו בזיליקום</t>
  </si>
  <si>
    <t>מרק ירקות וגריסים</t>
  </si>
  <si>
    <t>1 ק"ג *6</t>
  </si>
  <si>
    <t>מרק עגבניות עם ירקות/עדשים כתמות</t>
  </si>
  <si>
    <t>1.2 ק"ג *6</t>
  </si>
  <si>
    <t xml:space="preserve">סירופ שוקולד </t>
  </si>
  <si>
    <t xml:space="preserve">עריסה </t>
  </si>
  <si>
    <t>קבוקים</t>
  </si>
  <si>
    <t xml:space="preserve">קרקר </t>
  </si>
  <si>
    <t>110 ג'</t>
  </si>
  <si>
    <t xml:space="preserve">רוטב סויה  </t>
  </si>
  <si>
    <t>שקיות גופיה לבן</t>
  </si>
  <si>
    <t>15 ק"ג</t>
  </si>
  <si>
    <t>אבקת בצל</t>
  </si>
  <si>
    <t xml:space="preserve">טורטיה </t>
  </si>
  <si>
    <t>420 ג'</t>
  </si>
  <si>
    <t>כרוב כבוש</t>
  </si>
  <si>
    <t>עוגיות אחווה</t>
  </si>
  <si>
    <t>עוגיות כתר תות</t>
  </si>
  <si>
    <t>פטריות חתוכות</t>
  </si>
  <si>
    <t xml:space="preserve">רוטב צילי חריף </t>
  </si>
  <si>
    <t xml:space="preserve">מכסה למיכל 4.5 ליטר </t>
  </si>
  <si>
    <t xml:space="preserve">מכסה למיכל 2,1 ליטר </t>
  </si>
  <si>
    <t>חומוס שמיר</t>
  </si>
  <si>
    <t>תערובת לגעלה</t>
  </si>
  <si>
    <t>תבלין לשוורמה</t>
  </si>
  <si>
    <t>שקד טבעי</t>
  </si>
  <si>
    <t>רוטב צילי מתוק י. כהן</t>
  </si>
  <si>
    <t>פתיתים עגולים/ בן גוריון</t>
  </si>
  <si>
    <t>סופלה שוקולד</t>
  </si>
  <si>
    <t>סומק</t>
  </si>
  <si>
    <t>1 ק"</t>
  </si>
  <si>
    <t>חומוס זנלכל</t>
  </si>
  <si>
    <t>סחבה לריצפה 50/90</t>
  </si>
  <si>
    <t>סליקון ריחני למשתנה</t>
  </si>
  <si>
    <t>אגרול ירקות טבעוני</t>
  </si>
  <si>
    <t>8 ק"ג</t>
  </si>
  <si>
    <t>בוטנים אקסטרא קלוי</t>
  </si>
  <si>
    <t xml:space="preserve">מזרה צבעוני </t>
  </si>
  <si>
    <t>קפה שחור ואקום</t>
  </si>
  <si>
    <t>רסק תפו"ע ללא סוכר</t>
  </si>
  <si>
    <t>קרמלי נוגט</t>
  </si>
  <si>
    <t>28 ג'</t>
  </si>
  <si>
    <t xml:space="preserve">לימון כבוש </t>
  </si>
  <si>
    <t>עוגיות ממולאות אחווה</t>
  </si>
  <si>
    <t>פטריות שלמות</t>
  </si>
  <si>
    <t>קטשוף טומי</t>
  </si>
  <si>
    <t>550 ג'</t>
  </si>
  <si>
    <t>אבקת להכנת שוקו</t>
  </si>
  <si>
    <t>חרדל דיז'ון גרגירים/חלק</t>
  </si>
  <si>
    <t>מלח גס/שולחן</t>
  </si>
  <si>
    <t>שוקולד צ'יפס כרמית</t>
  </si>
  <si>
    <t>אגוז מלך קומבי</t>
  </si>
  <si>
    <t xml:space="preserve">אורז יסמין </t>
  </si>
  <si>
    <t>בלינצס במילוי תפו"א</t>
  </si>
  <si>
    <t>געריני חמניה</t>
  </si>
  <si>
    <t xml:space="preserve"> 1 ק"ג</t>
  </si>
  <si>
    <t>מרינדה לשווארמה עגל</t>
  </si>
  <si>
    <t>אורז קיסר</t>
  </si>
  <si>
    <t>A10</t>
  </si>
  <si>
    <t>סחוג תמני</t>
  </si>
  <si>
    <t>קפה שחור עלית</t>
  </si>
  <si>
    <t>100 ג'</t>
  </si>
  <si>
    <t>רוטב חמוץ מתוק</t>
  </si>
  <si>
    <t>נייר אפיה</t>
  </si>
  <si>
    <t>נייר מגבת 165 מ'</t>
  </si>
  <si>
    <t>נייר גלילי  300 מ'</t>
  </si>
  <si>
    <t>שנק וניל עם שוקו ציפס</t>
  </si>
  <si>
    <t>350 גר</t>
  </si>
  <si>
    <t xml:space="preserve">נייר אלומניום </t>
  </si>
  <si>
    <t>מתקן מטהר אוויר</t>
  </si>
  <si>
    <t>סוללות D</t>
  </si>
  <si>
    <t>מטליות לחות</t>
  </si>
  <si>
    <t>תערובת לעוגה וניל</t>
  </si>
  <si>
    <t>תערובת לעוגה תפוז</t>
  </si>
  <si>
    <t>תה סרמוני מיקס</t>
  </si>
  <si>
    <t>1000 מנות</t>
  </si>
  <si>
    <t>סחבה מיקרופייבר</t>
  </si>
  <si>
    <t>שקדי מרק העמק</t>
  </si>
  <si>
    <t>350 ג'</t>
  </si>
  <si>
    <t>בורגול עבה שוקחה</t>
  </si>
  <si>
    <t xml:space="preserve">מסיר שומנים כבדים </t>
  </si>
  <si>
    <t xml:space="preserve">כפית צבעוני קרם </t>
  </si>
  <si>
    <t>מזלג לבן</t>
  </si>
  <si>
    <t>כף לבן</t>
  </si>
  <si>
    <t>שקיות גופיה לבן גדול 30/60</t>
  </si>
  <si>
    <t>שקיות גופיה לבן 25/50</t>
  </si>
  <si>
    <t>50   10+1</t>
  </si>
  <si>
    <t>אבקה להכנת טמפורה</t>
  </si>
  <si>
    <t>אבקת נוגט</t>
  </si>
  <si>
    <t>55 ג'</t>
  </si>
  <si>
    <t>לזניה אוסם</t>
  </si>
  <si>
    <t>מים אקוה נובה</t>
  </si>
  <si>
    <t>נייר מטליון</t>
  </si>
  <si>
    <t>פיסטוק גרוס/שבור</t>
  </si>
  <si>
    <t>פירורי לחם יפני</t>
  </si>
  <si>
    <t>12.5 ק"ג</t>
  </si>
  <si>
    <t>ספריי לניקוי חלונות</t>
  </si>
  <si>
    <t>250 בשק</t>
  </si>
  <si>
    <t>נר חימום</t>
  </si>
  <si>
    <t>מגב פלסטיק 60 ס"מ</t>
  </si>
  <si>
    <t>בסיס לרוטב דג</t>
  </si>
  <si>
    <t>כריות נוגט תלמה</t>
  </si>
  <si>
    <t>מרינדה פלפלים קלויים</t>
  </si>
  <si>
    <t>קורנפלקס תלמה</t>
  </si>
  <si>
    <t>850 ג'</t>
  </si>
  <si>
    <t>קרוטונים</t>
  </si>
  <si>
    <t>רוטב אלפרדו</t>
  </si>
  <si>
    <t>רוטב ויניגרט עשבי תיבול</t>
  </si>
  <si>
    <t>רוטב ישראלי</t>
  </si>
  <si>
    <t>630 מ"ל</t>
  </si>
  <si>
    <t>רוטב לעוף בלימון</t>
  </si>
  <si>
    <t>רוטב קארי עם קוקוס</t>
  </si>
  <si>
    <t>5.2 ק"ג</t>
  </si>
  <si>
    <t>רוטב שזיפים</t>
  </si>
  <si>
    <t>אגוז פקאן סיני</t>
  </si>
  <si>
    <t>דוריטוס חמוץ חריף</t>
  </si>
  <si>
    <t>חומוס ארבעס מתובל</t>
  </si>
  <si>
    <t>660 ג'</t>
  </si>
  <si>
    <t>מאפינס ממולא תות</t>
  </si>
  <si>
    <t>פח קרובר</t>
  </si>
  <si>
    <t>קפה נמס מגורען רד מאג</t>
  </si>
  <si>
    <t>500 ג</t>
  </si>
  <si>
    <t>איטריות רחבות</t>
  </si>
  <si>
    <t>מיונז פרמיום בית יוסף</t>
  </si>
  <si>
    <t>סינרים עבה</t>
  </si>
  <si>
    <t>100 יחי'</t>
  </si>
  <si>
    <t>פירורי לחם זהב</t>
  </si>
  <si>
    <t>רוטב פטריות</t>
  </si>
  <si>
    <t>רוטב שקשוקה</t>
  </si>
  <si>
    <t>קילו</t>
  </si>
  <si>
    <t xml:space="preserve">גרנולה </t>
  </si>
  <si>
    <t>תירס רויאמיל</t>
  </si>
  <si>
    <t>דבש מנות</t>
  </si>
  <si>
    <t>מיכל סחיטה לרטבים</t>
  </si>
  <si>
    <t>1000מ"ל</t>
  </si>
  <si>
    <t xml:space="preserve">סוכר וניל </t>
  </si>
  <si>
    <t xml:space="preserve">פפריקה הונגרית </t>
  </si>
  <si>
    <t>קארי אדום</t>
  </si>
  <si>
    <t>2.6 ק"ג</t>
  </si>
  <si>
    <t>שום פרוס</t>
  </si>
  <si>
    <t>תמר מג'הול</t>
  </si>
  <si>
    <t xml:space="preserve">10+1  50  </t>
  </si>
  <si>
    <t>שיפון קל 100</t>
  </si>
  <si>
    <t>חלה פרוסה</t>
  </si>
  <si>
    <t>אנג'ל כוסמין</t>
  </si>
  <si>
    <t>לחם פרוס</t>
  </si>
  <si>
    <t>חלה קלועה</t>
  </si>
  <si>
    <t>בורקס טורקי</t>
  </si>
  <si>
    <t>דמי גלאס בסיס לרוטב חום</t>
  </si>
  <si>
    <t>סטיר פריי להקפצה</t>
  </si>
  <si>
    <t xml:space="preserve">קורנפלקס דבש </t>
  </si>
  <si>
    <t>448 ג'</t>
  </si>
  <si>
    <t>מאפינס אלמניום</t>
  </si>
  <si>
    <t>רוטב חריף</t>
  </si>
  <si>
    <t>רוטב סויה סיני</t>
  </si>
  <si>
    <t>3.75 ק"ג</t>
  </si>
  <si>
    <t>זיתים קלמטה חצאים</t>
  </si>
  <si>
    <t>19 ק"ג</t>
  </si>
  <si>
    <t>לזניה ברילה</t>
  </si>
  <si>
    <t>250 ג'</t>
  </si>
  <si>
    <t>שעועות ירוקה</t>
  </si>
  <si>
    <t>מגב לשיש</t>
  </si>
  <si>
    <t>ממרקות ברזלית</t>
  </si>
  <si>
    <t>20 ק"ג</t>
  </si>
  <si>
    <t>חומוס גרגירים</t>
  </si>
  <si>
    <t>1 ק"ג *9</t>
  </si>
  <si>
    <t>פלפל אנגלי טחון</t>
  </si>
  <si>
    <t>פפריקה מעושנת</t>
  </si>
  <si>
    <t>שקדים גפרורים / פרוסים</t>
  </si>
  <si>
    <t>שקית זילוף</t>
  </si>
  <si>
    <t>תמצית שטן</t>
  </si>
  <si>
    <t>25*40</t>
  </si>
  <si>
    <t>קוקטייל</t>
  </si>
  <si>
    <t>40*25</t>
  </si>
  <si>
    <t>עוגת פס גבינה אפויה</t>
  </si>
  <si>
    <t>בורקס תפו"א גדול</t>
  </si>
  <si>
    <t>קליינס</t>
  </si>
  <si>
    <t>קוליטש</t>
  </si>
  <si>
    <t>חלת הבית</t>
  </si>
  <si>
    <t>חלה מתוקה / רגילה</t>
  </si>
  <si>
    <t>פיצה בטאבון</t>
  </si>
  <si>
    <t>ביגלה טוסט</t>
  </si>
  <si>
    <t>ביגל רומני</t>
  </si>
  <si>
    <t>חלה מתוקה אמריקאית</t>
  </si>
  <si>
    <t>חלה אישי אמריקאי</t>
  </si>
  <si>
    <t>קליינס + מע"מ</t>
  </si>
  <si>
    <t>קוליטש + מע"מ</t>
  </si>
  <si>
    <t>גדרון</t>
  </si>
  <si>
    <t>גדרון + מע"מ</t>
  </si>
  <si>
    <t>פרלצ'ס</t>
  </si>
  <si>
    <t>בן  ג'ריס</t>
  </si>
  <si>
    <t>בן ג'ריס + מע"מ</t>
  </si>
  <si>
    <t>מאפיים</t>
  </si>
  <si>
    <t>באגט ארוך</t>
  </si>
  <si>
    <t>עמית</t>
  </si>
  <si>
    <t>בייגל רומני  קפוא</t>
  </si>
  <si>
    <t>בסיס פוקצה אפוי קפוא</t>
  </si>
  <si>
    <t xml:space="preserve">כיס פרלין חמאה </t>
  </si>
  <si>
    <t>חלה אפוי קפוא 240 ג'</t>
  </si>
  <si>
    <t xml:space="preserve">חלה אפוי קפוא 540 ג' </t>
  </si>
  <si>
    <t>לחם מחמצת בצל</t>
  </si>
  <si>
    <t>גבניות בוקר</t>
  </si>
  <si>
    <t>לחמניות קשר בצק</t>
  </si>
  <si>
    <t>אצבעות גבינה/ תפו"א</t>
  </si>
  <si>
    <t xml:space="preserve"> לפני מע"מ</t>
  </si>
  <si>
    <t>גידרון</t>
  </si>
  <si>
    <t>בודד</t>
  </si>
  <si>
    <t xml:space="preserve">          </t>
  </si>
  <si>
    <t xml:space="preserve">תפוזינה 1.5 </t>
  </si>
  <si>
    <t>קוקוס לבן / שחור/ חמוציות</t>
  </si>
  <si>
    <t>פיצה ללא גלוטן</t>
  </si>
  <si>
    <t>פוקצה ללא גלוטן</t>
  </si>
  <si>
    <t>לחמניה ללא גלוטן</t>
  </si>
  <si>
    <t>עוגה אישית ארוז ללא גלוטן</t>
  </si>
  <si>
    <t>תבלין לאורז פרסי</t>
  </si>
  <si>
    <t>תבלין ויליפוד</t>
  </si>
  <si>
    <t>תערובת גריל דג</t>
  </si>
  <si>
    <t>תערובת לדגים מרוקאים</t>
  </si>
  <si>
    <t>תערובת למעורב ירושלמי</t>
  </si>
  <si>
    <t>בצל מטוגן קריספי</t>
  </si>
  <si>
    <t>חוויאג</t>
  </si>
  <si>
    <t>ממרח זיתים ירוקים</t>
  </si>
  <si>
    <t>נייר תעשיתי 400 מטר</t>
  </si>
  <si>
    <t>צ'ימצ'ורי</t>
  </si>
  <si>
    <t>קלמטה חצאיים</t>
  </si>
  <si>
    <t>תבלין פילדלפיה</t>
  </si>
  <si>
    <t>מסיר שומנים</t>
  </si>
  <si>
    <t xml:space="preserve">בורקס גבינה </t>
  </si>
  <si>
    <t>לחמניות המבורגר קפואה 120 ג'</t>
  </si>
  <si>
    <t>תפוחיות</t>
  </si>
  <si>
    <t>דניש</t>
  </si>
  <si>
    <t xml:space="preserve">פילס נחש </t>
  </si>
  <si>
    <t>פן</t>
  </si>
  <si>
    <t>מיכל 2.5 ליטר</t>
  </si>
  <si>
    <t>שמן אגוזים</t>
  </si>
  <si>
    <t>אבקת קניידלעך</t>
  </si>
  <si>
    <t>זייתים ירוקים חרוזית</t>
  </si>
  <si>
    <t>טונה במים</t>
  </si>
  <si>
    <t>תערובת לעוגה שוקולד</t>
  </si>
  <si>
    <t>פסטה פוסילי</t>
  </si>
  <si>
    <t>20*50</t>
  </si>
  <si>
    <t>מגש אובלי שטוחה קשיחה</t>
  </si>
  <si>
    <t>50*10</t>
  </si>
  <si>
    <t>20*10</t>
  </si>
  <si>
    <t>זהר דליה סכומית</t>
  </si>
  <si>
    <t>זהר דליה מסיר שומנים</t>
  </si>
  <si>
    <t>מטליות לחות לרצפה</t>
  </si>
  <si>
    <t>טאץ</t>
  </si>
  <si>
    <t>תרסיס ניקוי משטחים פלאית</t>
  </si>
  <si>
    <t>אנג'ל</t>
  </si>
  <si>
    <t>המכירה לישיבות</t>
  </si>
  <si>
    <t>פפסי</t>
  </si>
  <si>
    <t>סודה בטעמים</t>
  </si>
  <si>
    <t>מי נובה 2 ליטר</t>
  </si>
  <si>
    <t>מי עדן 1.5 ליטר</t>
  </si>
  <si>
    <t>ר. שמאי</t>
  </si>
  <si>
    <t>1*20</t>
  </si>
  <si>
    <t>1*500</t>
  </si>
  <si>
    <t>1*25</t>
  </si>
  <si>
    <t>1*50</t>
  </si>
  <si>
    <t>25 מטר</t>
  </si>
  <si>
    <t xml:space="preserve">פח שובך </t>
  </si>
  <si>
    <t>50 ליטר</t>
  </si>
  <si>
    <t xml:space="preserve">נייר מגבת תעשיתי </t>
  </si>
  <si>
    <t>זייתים ייונים ירוקים</t>
  </si>
  <si>
    <t>4.4 ק''ג</t>
  </si>
  <si>
    <t>זייתים ייונים קלמטה</t>
  </si>
  <si>
    <t>קוקטייל פירות</t>
  </si>
  <si>
    <t>קצפת דילייט</t>
  </si>
  <si>
    <t>40*100</t>
  </si>
  <si>
    <t>18*56</t>
  </si>
  <si>
    <t>10*30</t>
  </si>
  <si>
    <t>18*72</t>
  </si>
  <si>
    <t>אסם</t>
  </si>
  <si>
    <t>נחמה לפני מע"מ</t>
  </si>
  <si>
    <t>נחמה</t>
  </si>
  <si>
    <t>נחמה + מע"מ</t>
  </si>
  <si>
    <t>1*100</t>
  </si>
  <si>
    <t>1.3 קילו</t>
  </si>
  <si>
    <t>1*10*30</t>
  </si>
  <si>
    <t xml:space="preserve">    10+1     1*1000</t>
  </si>
  <si>
    <t>10+1    1*500</t>
  </si>
  <si>
    <t>קוקיס שוקו/מריר</t>
  </si>
  <si>
    <t>סקוצים</t>
  </si>
  <si>
    <t>יופלה תות 100 ג'</t>
  </si>
  <si>
    <t>יוגורט יופלה פרי מארז</t>
  </si>
  <si>
    <t>נפוליאון טבעי</t>
  </si>
  <si>
    <t>גבינה מגורדת עמק 3 ק"ג</t>
  </si>
  <si>
    <t xml:space="preserve">שמנת להקצפה </t>
  </si>
  <si>
    <t>קוטג 250 ג' 5%</t>
  </si>
  <si>
    <t>קוטג 2 ק"ג 5%</t>
  </si>
  <si>
    <t>קוטג 250 ג' 9%</t>
  </si>
  <si>
    <t>חלב 3% 1 ליטר</t>
  </si>
  <si>
    <t>טלית קוביות בולגרית</t>
  </si>
  <si>
    <t>אוליבה רוטב עגבניות איטלקי</t>
  </si>
  <si>
    <t>שמנית 15% 200 מ"ל</t>
  </si>
  <si>
    <t>גבינה חדש תל יוסף</t>
  </si>
  <si>
    <t>מכירה לישיבות</t>
  </si>
  <si>
    <t>גבינה לבנה 9% 500 ג'</t>
  </si>
  <si>
    <t>גבינה עמק 28% 3 ק"ג</t>
  </si>
  <si>
    <t>צפתית מלבנית 5%</t>
  </si>
  <si>
    <t>נפוליאון עירית 25% 225 ג'</t>
  </si>
  <si>
    <t xml:space="preserve">יוגורט תות אפרסק </t>
  </si>
  <si>
    <t xml:space="preserve">יוגורט לבן 1.5% </t>
  </si>
  <si>
    <t>מוצרלה מגורדת 22% 3 ק"ג</t>
  </si>
  <si>
    <t xml:space="preserve">חמאה מנות </t>
  </si>
  <si>
    <t>יוגורט יופלה אננס וקוקוס</t>
  </si>
  <si>
    <t>יוגורט יופלה דיאט</t>
  </si>
  <si>
    <t>משקה סויה במתיקות מופחתת</t>
  </si>
  <si>
    <t>משקה שקדים 1 ליטר</t>
  </si>
  <si>
    <t>קרלו שוקו 125 ג'</t>
  </si>
  <si>
    <t>יוגורט מעודן מארז</t>
  </si>
  <si>
    <t>קרלו וניל</t>
  </si>
  <si>
    <t>צפתית פיראוס 5%</t>
  </si>
  <si>
    <t>גבינה לבנה 9% 2 ק"ג'</t>
  </si>
  <si>
    <t>מעדן יולו שכבות שוקו לבן</t>
  </si>
  <si>
    <t>שמנית חמוצה 27%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</si>
</sst>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%"/>
    <numFmt numFmtId="169" formatCode="#,##0.000"/>
    <numFmt numFmtId="171" formatCode="&quot;₪&quot;\ #,##0.00"/>
  </numFmts>
  <fonts count="28" x14ac:knownFonts="1">
    <font>
      <sz val="10"/>
      <name val="Arial"/>
      <charset val="177"/>
    </font>
    <font>
      <sz val="10"/>
      <name val="Arial"/>
      <charset val="177"/>
    </font>
    <font>
      <sz val="8"/>
      <name val="Arial"/>
      <family val="2"/>
    </font>
    <font>
      <u/>
      <sz val="10"/>
      <name val="Arial"/>
      <family val="2"/>
    </font>
    <font>
      <u val="singleAccounting"/>
      <sz val="10"/>
      <name val="Arial"/>
      <family val="2"/>
    </font>
    <font>
      <b/>
      <u/>
      <sz val="14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6"/>
      <name val="Arial"/>
      <family val="2"/>
    </font>
    <font>
      <sz val="11"/>
      <name val="Arial"/>
      <family val="2"/>
    </font>
    <font>
      <sz val="10"/>
      <color indexed="10"/>
      <name val="Arial"/>
      <family val="2"/>
    </font>
    <font>
      <sz val="10"/>
      <color indexed="57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1">
    <xf numFmtId="0" fontId="0" fillId="0" borderId="0" xfId="0"/>
    <xf numFmtId="0" fontId="3" fillId="0" borderId="0" xfId="0" applyFont="1"/>
    <xf numFmtId="43" fontId="0" fillId="0" borderId="0" xfId="1" applyFont="1"/>
    <xf numFmtId="9" fontId="0" fillId="0" borderId="0" xfId="2" applyFont="1"/>
    <xf numFmtId="4" fontId="0" fillId="0" borderId="0" xfId="0" applyNumberFormat="1"/>
    <xf numFmtId="43" fontId="0" fillId="0" borderId="0" xfId="1" applyFont="1" applyAlignment="1">
      <alignment horizontal="center" wrapText="1"/>
    </xf>
    <xf numFmtId="9" fontId="3" fillId="0" borderId="0" xfId="2" applyFont="1"/>
    <xf numFmtId="0" fontId="0" fillId="0" borderId="1" xfId="0" applyBorder="1"/>
    <xf numFmtId="43" fontId="0" fillId="0" borderId="1" xfId="1" applyFont="1" applyBorder="1"/>
    <xf numFmtId="9" fontId="0" fillId="0" borderId="1" xfId="2" applyFont="1" applyBorder="1"/>
    <xf numFmtId="4" fontId="0" fillId="0" borderId="1" xfId="0" applyNumberFormat="1" applyBorder="1"/>
    <xf numFmtId="0" fontId="5" fillId="0" borderId="0" xfId="0" applyFont="1"/>
    <xf numFmtId="0" fontId="6" fillId="0" borderId="1" xfId="0" applyFont="1" applyBorder="1"/>
    <xf numFmtId="43" fontId="6" fillId="0" borderId="1" xfId="1" applyFont="1" applyBorder="1"/>
    <xf numFmtId="9" fontId="6" fillId="0" borderId="1" xfId="2" applyFont="1" applyBorder="1"/>
    <xf numFmtId="4" fontId="6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1" fillId="0" borderId="1" xfId="0" applyFont="1" applyBorder="1"/>
    <xf numFmtId="49" fontId="0" fillId="0" borderId="1" xfId="0" applyNumberFormat="1" applyBorder="1" applyAlignment="1">
      <alignment horizontal="right" readingOrder="2"/>
    </xf>
    <xf numFmtId="49" fontId="0" fillId="0" borderId="1" xfId="0" applyNumberFormat="1" applyBorder="1" applyAlignment="1">
      <alignment readingOrder="2"/>
    </xf>
    <xf numFmtId="164" fontId="0" fillId="0" borderId="1" xfId="2" applyNumberFormat="1" applyFont="1" applyBorder="1"/>
    <xf numFmtId="10" fontId="0" fillId="0" borderId="1" xfId="2" applyNumberFormat="1" applyFont="1" applyBorder="1"/>
    <xf numFmtId="0" fontId="0" fillId="0" borderId="0" xfId="0" applyBorder="1"/>
    <xf numFmtId="43" fontId="0" fillId="0" borderId="0" xfId="1" applyFont="1" applyBorder="1"/>
    <xf numFmtId="9" fontId="0" fillId="0" borderId="0" xfId="2" applyFont="1" applyBorder="1"/>
    <xf numFmtId="4" fontId="0" fillId="0" borderId="0" xfId="0" applyNumberFormat="1" applyBorder="1"/>
    <xf numFmtId="0" fontId="0" fillId="0" borderId="1" xfId="0" applyFill="1" applyBorder="1"/>
    <xf numFmtId="0" fontId="0" fillId="0" borderId="0" xfId="0" applyFill="1" applyBorder="1"/>
    <xf numFmtId="0" fontId="8" fillId="0" borderId="0" xfId="0" applyFont="1"/>
    <xf numFmtId="0" fontId="1" fillId="0" borderId="1" xfId="0" applyFont="1" applyFill="1" applyBorder="1"/>
    <xf numFmtId="0" fontId="9" fillId="0" borderId="1" xfId="0" applyFont="1" applyBorder="1"/>
    <xf numFmtId="43" fontId="9" fillId="0" borderId="1" xfId="1" applyFont="1" applyBorder="1"/>
    <xf numFmtId="9" fontId="9" fillId="0" borderId="1" xfId="2" applyFont="1" applyBorder="1"/>
    <xf numFmtId="4" fontId="9" fillId="0" borderId="1" xfId="0" applyNumberFormat="1" applyFont="1" applyBorder="1"/>
    <xf numFmtId="4" fontId="10" fillId="0" borderId="1" xfId="0" applyNumberFormat="1" applyFont="1" applyBorder="1"/>
    <xf numFmtId="4" fontId="11" fillId="0" borderId="1" xfId="0" applyNumberFormat="1" applyFont="1" applyBorder="1"/>
    <xf numFmtId="43" fontId="11" fillId="0" borderId="1" xfId="1" applyFont="1" applyBorder="1"/>
    <xf numFmtId="43" fontId="10" fillId="0" borderId="1" xfId="1" applyFont="1" applyBorder="1"/>
    <xf numFmtId="43" fontId="12" fillId="0" borderId="1" xfId="1" applyFont="1" applyBorder="1"/>
    <xf numFmtId="0" fontId="13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right"/>
    </xf>
    <xf numFmtId="43" fontId="15" fillId="2" borderId="1" xfId="1" applyFont="1" applyFill="1" applyBorder="1"/>
    <xf numFmtId="43" fontId="11" fillId="2" borderId="1" xfId="1" applyFont="1" applyFill="1" applyBorder="1"/>
    <xf numFmtId="49" fontId="13" fillId="0" borderId="1" xfId="0" applyNumberFormat="1" applyFont="1" applyBorder="1" applyAlignment="1">
      <alignment horizontal="right" readingOrder="2"/>
    </xf>
    <xf numFmtId="0" fontId="0" fillId="0" borderId="2" xfId="0" applyBorder="1"/>
    <xf numFmtId="49" fontId="0" fillId="0" borderId="0" xfId="0" applyNumberFormat="1" applyBorder="1" applyAlignment="1">
      <alignment horizontal="right" readingOrder="2"/>
    </xf>
    <xf numFmtId="43" fontId="15" fillId="2" borderId="0" xfId="1" applyFont="1" applyFill="1" applyBorder="1"/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7" fillId="0" borderId="1" xfId="0" applyFont="1" applyBorder="1"/>
    <xf numFmtId="0" fontId="5" fillId="0" borderId="0" xfId="0" applyFont="1" applyAlignment="1">
      <alignment horizontal="right"/>
    </xf>
    <xf numFmtId="43" fontId="18" fillId="3" borderId="1" xfId="1" applyFont="1" applyFill="1" applyBorder="1"/>
    <xf numFmtId="0" fontId="16" fillId="0" borderId="1" xfId="0" applyFont="1" applyBorder="1" applyAlignment="1">
      <alignment horizontal="center" vertical="center"/>
    </xf>
    <xf numFmtId="43" fontId="16" fillId="0" borderId="1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3" fontId="1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4" borderId="0" xfId="0" applyFont="1" applyFill="1"/>
    <xf numFmtId="0" fontId="0" fillId="4" borderId="0" xfId="0" applyFill="1"/>
    <xf numFmtId="43" fontId="19" fillId="4" borderId="0" xfId="1" applyFont="1" applyFill="1"/>
    <xf numFmtId="9" fontId="19" fillId="4" borderId="0" xfId="2" applyFont="1" applyFill="1"/>
    <xf numFmtId="4" fontId="0" fillId="4" borderId="0" xfId="0" applyNumberFormat="1" applyFill="1"/>
    <xf numFmtId="0" fontId="6" fillId="4" borderId="1" xfId="0" applyFont="1" applyFill="1" applyBorder="1"/>
    <xf numFmtId="43" fontId="6" fillId="4" borderId="1" xfId="1" applyFont="1" applyFill="1" applyBorder="1"/>
    <xf numFmtId="9" fontId="6" fillId="4" borderId="1" xfId="2" applyFont="1" applyFill="1" applyBorder="1"/>
    <xf numFmtId="4" fontId="6" fillId="4" borderId="1" xfId="0" applyNumberFormat="1" applyFont="1" applyFill="1" applyBorder="1"/>
    <xf numFmtId="0" fontId="0" fillId="4" borderId="1" xfId="0" applyFill="1" applyBorder="1"/>
    <xf numFmtId="0" fontId="13" fillId="4" borderId="1" xfId="0" applyFont="1" applyFill="1" applyBorder="1"/>
    <xf numFmtId="43" fontId="19" fillId="4" borderId="1" xfId="1" applyFont="1" applyFill="1" applyBorder="1"/>
    <xf numFmtId="9" fontId="19" fillId="4" borderId="1" xfId="2" applyFont="1" applyFill="1" applyBorder="1"/>
    <xf numFmtId="4" fontId="0" fillId="4" borderId="1" xfId="0" applyNumberFormat="1" applyFill="1" applyBorder="1"/>
    <xf numFmtId="0" fontId="8" fillId="4" borderId="0" xfId="0" applyFont="1" applyFill="1"/>
    <xf numFmtId="43" fontId="13" fillId="4" borderId="1" xfId="1" applyFont="1" applyFill="1" applyBorder="1"/>
    <xf numFmtId="9" fontId="13" fillId="4" borderId="1" xfId="2" applyFont="1" applyFill="1" applyBorder="1"/>
    <xf numFmtId="4" fontId="13" fillId="4" borderId="1" xfId="0" applyNumberFormat="1" applyFont="1" applyFill="1" applyBorder="1"/>
    <xf numFmtId="0" fontId="0" fillId="4" borderId="1" xfId="0" applyFill="1" applyBorder="1" applyAlignment="1">
      <alignment horizontal="right"/>
    </xf>
    <xf numFmtId="49" fontId="0" fillId="4" borderId="1" xfId="0" applyNumberFormat="1" applyFill="1" applyBorder="1" applyAlignment="1">
      <alignment horizontal="right" readingOrder="2"/>
    </xf>
    <xf numFmtId="0" fontId="13" fillId="4" borderId="1" xfId="0" applyFont="1" applyFill="1" applyBorder="1" applyAlignment="1">
      <alignment horizontal="right"/>
    </xf>
    <xf numFmtId="0" fontId="3" fillId="4" borderId="0" xfId="0" applyFont="1" applyFill="1"/>
    <xf numFmtId="10" fontId="6" fillId="4" borderId="1" xfId="2" applyNumberFormat="1" applyFont="1" applyFill="1" applyBorder="1"/>
    <xf numFmtId="10" fontId="19" fillId="4" borderId="1" xfId="2" applyNumberFormat="1" applyFont="1" applyFill="1" applyBorder="1"/>
    <xf numFmtId="169" fontId="0" fillId="4" borderId="1" xfId="0" applyNumberFormat="1" applyFill="1" applyBorder="1"/>
    <xf numFmtId="49" fontId="0" fillId="4" borderId="1" xfId="0" applyNumberFormat="1" applyFill="1" applyBorder="1" applyAlignment="1">
      <alignment readingOrder="2"/>
    </xf>
    <xf numFmtId="9" fontId="9" fillId="4" borderId="1" xfId="2" applyFont="1" applyFill="1" applyBorder="1"/>
    <xf numFmtId="4" fontId="9" fillId="4" borderId="1" xfId="0" applyNumberFormat="1" applyFont="1" applyFill="1" applyBorder="1"/>
    <xf numFmtId="0" fontId="9" fillId="4" borderId="1" xfId="0" applyFont="1" applyFill="1" applyBorder="1"/>
    <xf numFmtId="43" fontId="19" fillId="4" borderId="1" xfId="1" applyNumberFormat="1" applyFont="1" applyFill="1" applyBorder="1"/>
    <xf numFmtId="43" fontId="19" fillId="4" borderId="1" xfId="2" applyNumberFormat="1" applyFont="1" applyFill="1" applyBorder="1"/>
    <xf numFmtId="2" fontId="19" fillId="4" borderId="1" xfId="1" applyNumberFormat="1" applyFont="1" applyFill="1" applyBorder="1"/>
    <xf numFmtId="0" fontId="6" fillId="0" borderId="1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0" fontId="0" fillId="0" borderId="1" xfId="0" applyFill="1" applyBorder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171" fontId="13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71" fontId="13" fillId="0" borderId="1" xfId="1" applyNumberFormat="1" applyFont="1" applyBorder="1" applyAlignment="1">
      <alignment horizontal="center"/>
    </xf>
    <xf numFmtId="171" fontId="6" fillId="0" borderId="1" xfId="1" applyNumberFormat="1" applyFont="1" applyBorder="1" applyAlignment="1">
      <alignment horizontal="center"/>
    </xf>
    <xf numFmtId="171" fontId="0" fillId="0" borderId="1" xfId="1" applyNumberFormat="1" applyFont="1" applyBorder="1" applyAlignment="1">
      <alignment horizontal="center"/>
    </xf>
    <xf numFmtId="171" fontId="0" fillId="0" borderId="0" xfId="0" applyNumberFormat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/>
    <xf numFmtId="0" fontId="13" fillId="2" borderId="1" xfId="0" applyFont="1" applyFill="1" applyBorder="1"/>
    <xf numFmtId="0" fontId="13" fillId="7" borderId="1" xfId="0" applyFont="1" applyFill="1" applyBorder="1" applyAlignment="1">
      <alignment horizontal="center" vertical="center"/>
    </xf>
    <xf numFmtId="0" fontId="13" fillId="5" borderId="1" xfId="0" applyFont="1" applyFill="1" applyBorder="1"/>
    <xf numFmtId="0" fontId="7" fillId="2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6" borderId="2" xfId="0" applyFont="1" applyFill="1" applyBorder="1" applyAlignment="1">
      <alignment horizontal="center" vertical="center"/>
    </xf>
    <xf numFmtId="17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0" fontId="13" fillId="8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1" fontId="13" fillId="0" borderId="0" xfId="1" applyNumberFormat="1" applyFont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43" fontId="25" fillId="0" borderId="1" xfId="1" applyFont="1" applyBorder="1" applyAlignment="1">
      <alignment horizontal="center" vertical="center"/>
    </xf>
    <xf numFmtId="0" fontId="17" fillId="0" borderId="0" xfId="0" applyFont="1" applyBorder="1"/>
    <xf numFmtId="43" fontId="17" fillId="0" borderId="0" xfId="1" applyFont="1" applyBorder="1"/>
    <xf numFmtId="2" fontId="17" fillId="0" borderId="0" xfId="1" applyNumberFormat="1" applyFont="1" applyBorder="1"/>
    <xf numFmtId="171" fontId="0" fillId="0" borderId="1" xfId="0" applyNumberForma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71" fontId="0" fillId="9" borderId="1" xfId="0" applyNumberFormat="1" applyFill="1" applyBorder="1" applyAlignment="1">
      <alignment horizontal="center" vertical="center"/>
    </xf>
    <xf numFmtId="171" fontId="24" fillId="9" borderId="1" xfId="1" applyNumberFormat="1" applyFont="1" applyFill="1" applyBorder="1" applyAlignment="1">
      <alignment horizontal="center" vertical="center"/>
    </xf>
    <xf numFmtId="171" fontId="0" fillId="0" borderId="0" xfId="2" applyNumberFormat="1" applyFont="1"/>
    <xf numFmtId="171" fontId="17" fillId="0" borderId="1" xfId="2" applyNumberFormat="1" applyFont="1" applyBorder="1"/>
    <xf numFmtId="171" fontId="0" fillId="0" borderId="1" xfId="2" applyNumberFormat="1" applyFont="1" applyBorder="1"/>
    <xf numFmtId="171" fontId="0" fillId="0" borderId="0" xfId="0" applyNumberFormat="1"/>
    <xf numFmtId="171" fontId="0" fillId="0" borderId="0" xfId="1" applyNumberFormat="1" applyFont="1"/>
    <xf numFmtId="171" fontId="16" fillId="0" borderId="1" xfId="1" applyNumberFormat="1" applyFont="1" applyBorder="1"/>
    <xf numFmtId="171" fontId="17" fillId="0" borderId="1" xfId="1" applyNumberFormat="1" applyFont="1" applyBorder="1"/>
    <xf numFmtId="171" fontId="0" fillId="0" borderId="1" xfId="1" applyNumberFormat="1" applyFont="1" applyBorder="1"/>
    <xf numFmtId="171" fontId="13" fillId="0" borderId="1" xfId="1" applyNumberFormat="1" applyFont="1" applyBorder="1" applyAlignment="1">
      <alignment horizontal="center" vertical="center"/>
    </xf>
    <xf numFmtId="171" fontId="13" fillId="0" borderId="1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3" fontId="26" fillId="9" borderId="1" xfId="1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171" fontId="21" fillId="0" borderId="1" xfId="0" applyNumberFormat="1" applyFont="1" applyBorder="1" applyAlignment="1">
      <alignment horizontal="center" vertical="center"/>
    </xf>
    <xf numFmtId="171" fontId="27" fillId="9" borderId="1" xfId="0" applyNumberFormat="1" applyFont="1" applyFill="1" applyBorder="1" applyAlignment="1">
      <alignment horizontal="center" vertical="center"/>
    </xf>
    <xf numFmtId="171" fontId="21" fillId="0" borderId="1" xfId="0" applyNumberFormat="1" applyFont="1" applyFill="1" applyBorder="1" applyAlignment="1">
      <alignment horizontal="center" vertical="center"/>
    </xf>
    <xf numFmtId="171" fontId="21" fillId="0" borderId="1" xfId="1" applyNumberFormat="1" applyFont="1" applyBorder="1" applyAlignment="1">
      <alignment horizontal="center" vertical="center"/>
    </xf>
    <xf numFmtId="171" fontId="27" fillId="9" borderId="1" xfId="1" applyNumberFormat="1" applyFont="1" applyFill="1" applyBorder="1" applyAlignment="1">
      <alignment horizontal="center" vertical="center"/>
    </xf>
    <xf numFmtId="43" fontId="22" fillId="0" borderId="1" xfId="1" applyFont="1" applyBorder="1"/>
    <xf numFmtId="0" fontId="16" fillId="0" borderId="0" xfId="0" applyFont="1"/>
    <xf numFmtId="171" fontId="13" fillId="0" borderId="0" xfId="0" applyNumberFormat="1" applyFont="1" applyBorder="1" applyAlignment="1">
      <alignment horizontal="center" vertical="center"/>
    </xf>
    <xf numFmtId="171" fontId="6" fillId="0" borderId="0" xfId="0" applyNumberFormat="1" applyFont="1" applyBorder="1" applyAlignment="1">
      <alignment horizontal="center"/>
    </xf>
    <xf numFmtId="171" fontId="13" fillId="0" borderId="1" xfId="2" applyNumberFormat="1" applyFont="1" applyFill="1" applyBorder="1" applyAlignment="1">
      <alignment horizontal="center" vertical="center"/>
    </xf>
    <xf numFmtId="0" fontId="17" fillId="0" borderId="6" xfId="0" applyFont="1" applyBorder="1"/>
    <xf numFmtId="171" fontId="17" fillId="0" borderId="6" xfId="1" applyNumberFormat="1" applyFont="1" applyBorder="1"/>
    <xf numFmtId="171" fontId="17" fillId="0" borderId="6" xfId="2" applyNumberFormat="1" applyFont="1" applyBorder="1"/>
    <xf numFmtId="0" fontId="9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171" fontId="13" fillId="0" borderId="6" xfId="1" applyNumberFormat="1" applyFont="1" applyBorder="1" applyAlignment="1">
      <alignment horizontal="center" vertical="center"/>
    </xf>
    <xf numFmtId="171" fontId="13" fillId="0" borderId="6" xfId="2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171" fontId="16" fillId="0" borderId="8" xfId="2" applyNumberFormat="1" applyFont="1" applyBorder="1" applyAlignment="1">
      <alignment horizontal="center"/>
    </xf>
    <xf numFmtId="171" fontId="16" fillId="0" borderId="9" xfId="2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71" fontId="6" fillId="0" borderId="11" xfId="1" applyNumberFormat="1" applyFont="1" applyBorder="1" applyAlignment="1">
      <alignment horizontal="center"/>
    </xf>
    <xf numFmtId="171" fontId="13" fillId="0" borderId="1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Border="1" applyAlignment="1">
      <alignment horizontal="center"/>
    </xf>
    <xf numFmtId="10" fontId="23" fillId="0" borderId="1" xfId="2" applyNumberFormat="1" applyFont="1" applyBorder="1" applyAlignment="1">
      <alignment horizontal="center"/>
    </xf>
    <xf numFmtId="4" fontId="23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 vertical="center" readingOrder="2"/>
    </xf>
    <xf numFmtId="43" fontId="9" fillId="0" borderId="1" xfId="1" applyFont="1" applyBorder="1" applyAlignment="1">
      <alignment horizontal="center" vertical="center"/>
    </xf>
    <xf numFmtId="10" fontId="9" fillId="0" borderId="1" xfId="2" applyNumberFormat="1" applyFont="1" applyBorder="1" applyAlignment="1">
      <alignment horizontal="center" vertical="center"/>
    </xf>
    <xf numFmtId="169" fontId="9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3" fontId="9" fillId="0" borderId="1" xfId="1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69" fontId="9" fillId="0" borderId="1" xfId="0" applyNumberFormat="1" applyFont="1" applyFill="1" applyBorder="1" applyAlignment="1">
      <alignment horizontal="center" vertical="center"/>
    </xf>
    <xf numFmtId="43" fontId="0" fillId="0" borderId="0" xfId="0" applyNumberFormat="1"/>
    <xf numFmtId="49" fontId="9" fillId="7" borderId="1" xfId="0" applyNumberFormat="1" applyFont="1" applyFill="1" applyBorder="1" applyAlignment="1">
      <alignment horizontal="center" vertical="center" readingOrder="2"/>
    </xf>
    <xf numFmtId="0" fontId="9" fillId="7" borderId="1" xfId="0" applyFont="1" applyFill="1" applyBorder="1" applyAlignment="1">
      <alignment horizontal="center" vertical="center"/>
    </xf>
    <xf numFmtId="43" fontId="9" fillId="7" borderId="1" xfId="1" applyFont="1" applyFill="1" applyBorder="1" applyAlignment="1">
      <alignment horizontal="center" vertical="center"/>
    </xf>
    <xf numFmtId="10" fontId="9" fillId="7" borderId="1" xfId="2" applyNumberFormat="1" applyFont="1" applyFill="1" applyBorder="1" applyAlignment="1">
      <alignment horizontal="center" vertical="center"/>
    </xf>
    <xf numFmtId="169" fontId="9" fillId="7" borderId="1" xfId="0" applyNumberFormat="1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71" fontId="13" fillId="0" borderId="3" xfId="1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71" fontId="13" fillId="0" borderId="3" xfId="0" applyNumberFormat="1" applyFont="1" applyBorder="1" applyAlignment="1">
      <alignment horizontal="center" vertical="center"/>
    </xf>
    <xf numFmtId="171" fontId="6" fillId="10" borderId="1" xfId="0" applyNumberFormat="1" applyFont="1" applyFill="1" applyBorder="1" applyAlignment="1">
      <alignment horizontal="center"/>
    </xf>
    <xf numFmtId="0" fontId="0" fillId="10" borderId="1" xfId="0" applyFill="1" applyBorder="1"/>
    <xf numFmtId="171" fontId="0" fillId="10" borderId="1" xfId="0" applyNumberFormat="1" applyFill="1" applyBorder="1"/>
    <xf numFmtId="0" fontId="13" fillId="12" borderId="12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13" fillId="0" borderId="2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8D90-0731-4C65-859A-8960B1823D79}">
  <dimension ref="A1:IV1149"/>
  <sheetViews>
    <sheetView rightToLeft="1" zoomScale="120" zoomScaleNormal="120" workbookViewId="0">
      <pane ySplit="1" topLeftCell="A768" activePane="bottomLeft" state="frozen"/>
      <selection pane="bottomLeft" activeCell="B1142" sqref="B1142"/>
    </sheetView>
  </sheetViews>
  <sheetFormatPr defaultRowHeight="12.75" x14ac:dyDescent="0.2"/>
  <cols>
    <col min="1" max="1" width="14.42578125" customWidth="1"/>
    <col min="2" max="2" width="39.42578125" bestFit="1" customWidth="1"/>
    <col min="3" max="3" width="9.7109375" customWidth="1"/>
    <col min="4" max="5" width="15.5703125" style="2" customWidth="1"/>
    <col min="6" max="6" width="11.7109375" style="3" customWidth="1"/>
    <col min="7" max="7" width="15.5703125" style="4" customWidth="1"/>
    <col min="8" max="8" width="12.7109375" customWidth="1"/>
  </cols>
  <sheetData>
    <row r="1" spans="1:11" x14ac:dyDescent="0.2">
      <c r="A1" s="1" t="s">
        <v>0</v>
      </c>
      <c r="B1" s="1" t="s">
        <v>1</v>
      </c>
      <c r="C1" s="1" t="s">
        <v>19</v>
      </c>
      <c r="D1" s="5" t="s">
        <v>366</v>
      </c>
      <c r="E1" s="5"/>
      <c r="F1" s="6" t="s">
        <v>113</v>
      </c>
      <c r="G1" s="5" t="s">
        <v>367</v>
      </c>
      <c r="H1" t="s">
        <v>426</v>
      </c>
    </row>
    <row r="2" spans="1:11" x14ac:dyDescent="0.2">
      <c r="K2" t="s">
        <v>473</v>
      </c>
    </row>
    <row r="3" spans="1:11" ht="18" x14ac:dyDescent="0.25">
      <c r="A3" s="11" t="s">
        <v>16</v>
      </c>
      <c r="B3" s="11"/>
    </row>
    <row r="4" spans="1:11" ht="18" x14ac:dyDescent="0.25">
      <c r="A4" s="11"/>
      <c r="B4" s="11"/>
    </row>
    <row r="5" spans="1:11" s="16" customFormat="1" ht="15" x14ac:dyDescent="0.25">
      <c r="A5" s="12" t="s">
        <v>0</v>
      </c>
      <c r="B5" s="12" t="s">
        <v>1</v>
      </c>
      <c r="C5" s="12" t="s">
        <v>19</v>
      </c>
      <c r="D5" s="13" t="s">
        <v>424</v>
      </c>
      <c r="E5" s="13"/>
      <c r="F5" s="14" t="s">
        <v>113</v>
      </c>
      <c r="G5" s="15" t="s">
        <v>425</v>
      </c>
      <c r="H5" s="12" t="s">
        <v>426</v>
      </c>
    </row>
    <row r="6" spans="1:11" x14ac:dyDescent="0.2">
      <c r="A6" s="7">
        <v>101</v>
      </c>
      <c r="B6" s="7" t="s">
        <v>2</v>
      </c>
      <c r="C6" s="7"/>
      <c r="D6" s="8">
        <v>1.3</v>
      </c>
      <c r="E6" s="8"/>
      <c r="F6" s="9"/>
      <c r="G6" s="10"/>
      <c r="H6" s="7"/>
    </row>
    <row r="7" spans="1:11" x14ac:dyDescent="0.2">
      <c r="A7" s="7">
        <v>113</v>
      </c>
      <c r="B7" s="7" t="s">
        <v>3</v>
      </c>
      <c r="C7" s="7"/>
      <c r="D7" s="8">
        <v>1.3</v>
      </c>
      <c r="E7" s="8"/>
      <c r="F7" s="9"/>
      <c r="G7" s="10"/>
      <c r="H7" s="7"/>
    </row>
    <row r="8" spans="1:11" x14ac:dyDescent="0.2">
      <c r="A8" s="7">
        <v>115</v>
      </c>
      <c r="B8" s="7" t="s">
        <v>4</v>
      </c>
      <c r="C8" s="7"/>
      <c r="D8" s="8">
        <v>9.84</v>
      </c>
      <c r="E8" s="8"/>
      <c r="F8" s="9"/>
      <c r="G8" s="10"/>
      <c r="H8" s="7"/>
    </row>
    <row r="9" spans="1:11" x14ac:dyDescent="0.2">
      <c r="A9" s="7">
        <v>138</v>
      </c>
      <c r="B9" s="7" t="s">
        <v>5</v>
      </c>
      <c r="C9" s="7"/>
      <c r="D9" s="8">
        <v>9.84</v>
      </c>
      <c r="E9" s="8"/>
      <c r="F9" s="9"/>
      <c r="G9" s="10"/>
      <c r="H9" s="7"/>
    </row>
    <row r="10" spans="1:11" x14ac:dyDescent="0.2">
      <c r="A10" s="7">
        <v>212</v>
      </c>
      <c r="B10" s="7" t="s">
        <v>6</v>
      </c>
      <c r="C10" s="7"/>
      <c r="D10" s="8">
        <v>5.63</v>
      </c>
      <c r="E10" s="8"/>
      <c r="F10" s="9"/>
      <c r="G10" s="10"/>
      <c r="H10" s="7"/>
    </row>
    <row r="11" spans="1:11" x14ac:dyDescent="0.2">
      <c r="A11" s="7">
        <v>301</v>
      </c>
      <c r="B11" s="7" t="s">
        <v>7</v>
      </c>
      <c r="C11" s="7"/>
      <c r="D11" s="8">
        <v>3.86</v>
      </c>
      <c r="E11" s="8"/>
      <c r="F11" s="9"/>
      <c r="G11" s="10"/>
      <c r="H11" s="7"/>
    </row>
    <row r="12" spans="1:11" x14ac:dyDescent="0.2">
      <c r="A12" s="7">
        <v>308</v>
      </c>
      <c r="B12" s="7" t="s">
        <v>8</v>
      </c>
      <c r="C12" s="7"/>
      <c r="D12" s="8">
        <v>9</v>
      </c>
      <c r="E12" s="8"/>
      <c r="F12" s="9"/>
      <c r="G12" s="10"/>
      <c r="H12" s="7"/>
    </row>
    <row r="13" spans="1:11" x14ac:dyDescent="0.2">
      <c r="A13" s="7">
        <v>374</v>
      </c>
      <c r="B13" s="7" t="s">
        <v>9</v>
      </c>
      <c r="C13" s="7"/>
      <c r="D13" s="8">
        <v>1.76</v>
      </c>
      <c r="E13" s="8"/>
      <c r="F13" s="9"/>
      <c r="G13" s="10"/>
      <c r="H13" s="7"/>
    </row>
    <row r="14" spans="1:11" x14ac:dyDescent="0.2">
      <c r="A14" s="7">
        <v>396</v>
      </c>
      <c r="B14" s="7" t="s">
        <v>10</v>
      </c>
      <c r="C14" s="7"/>
      <c r="D14" s="8">
        <v>1.76</v>
      </c>
      <c r="E14" s="8"/>
      <c r="F14" s="9"/>
      <c r="G14" s="10"/>
      <c r="H14" s="7"/>
    </row>
    <row r="15" spans="1:11" x14ac:dyDescent="0.2">
      <c r="A15" s="7">
        <v>426</v>
      </c>
      <c r="B15" s="7" t="s">
        <v>11</v>
      </c>
      <c r="C15" s="7"/>
      <c r="D15" s="8">
        <v>8.6</v>
      </c>
      <c r="E15" s="8"/>
      <c r="F15" s="9"/>
      <c r="G15" s="10"/>
      <c r="H15" s="7"/>
    </row>
    <row r="16" spans="1:11" x14ac:dyDescent="0.2">
      <c r="A16" s="7">
        <v>651</v>
      </c>
      <c r="B16" s="7" t="s">
        <v>12</v>
      </c>
      <c r="C16" s="7"/>
      <c r="D16" s="8">
        <v>10.95</v>
      </c>
      <c r="E16" s="8"/>
      <c r="F16" s="9"/>
      <c r="G16" s="10"/>
      <c r="H16" s="7"/>
    </row>
    <row r="17" spans="1:8" x14ac:dyDescent="0.2">
      <c r="A17" s="7">
        <v>671</v>
      </c>
      <c r="B17" s="7" t="s">
        <v>13</v>
      </c>
      <c r="C17" s="7"/>
      <c r="D17" s="8">
        <v>10.62</v>
      </c>
      <c r="E17" s="8"/>
      <c r="F17" s="9"/>
      <c r="G17" s="10"/>
      <c r="H17" s="7"/>
    </row>
    <row r="18" spans="1:8" x14ac:dyDescent="0.2">
      <c r="A18" s="7">
        <v>810</v>
      </c>
      <c r="B18" s="7" t="s">
        <v>14</v>
      </c>
      <c r="C18" s="7"/>
      <c r="D18" s="8">
        <v>11.2</v>
      </c>
      <c r="E18" s="8"/>
      <c r="F18" s="9"/>
      <c r="G18" s="10"/>
      <c r="H18" s="7"/>
    </row>
    <row r="19" spans="1:8" x14ac:dyDescent="0.2">
      <c r="A19" s="7"/>
      <c r="B19" s="7" t="s">
        <v>437</v>
      </c>
      <c r="C19" s="7"/>
      <c r="D19" s="8">
        <v>3.4</v>
      </c>
      <c r="E19" s="8"/>
      <c r="F19" s="9"/>
      <c r="G19" s="10"/>
      <c r="H19" s="7"/>
    </row>
    <row r="20" spans="1:8" x14ac:dyDescent="0.2">
      <c r="A20" s="7"/>
      <c r="B20" s="7" t="s">
        <v>438</v>
      </c>
      <c r="C20" s="7"/>
      <c r="D20" s="8">
        <v>4.9000000000000004</v>
      </c>
      <c r="E20" s="8"/>
      <c r="F20" s="9"/>
      <c r="G20" s="10"/>
      <c r="H20" s="7"/>
    </row>
    <row r="21" spans="1:8" x14ac:dyDescent="0.2">
      <c r="A21" s="7">
        <v>811</v>
      </c>
      <c r="B21" s="7" t="s">
        <v>15</v>
      </c>
      <c r="C21" s="7"/>
      <c r="D21" s="8">
        <v>11.2</v>
      </c>
      <c r="E21" s="8"/>
      <c r="F21" s="9"/>
      <c r="G21" s="10"/>
      <c r="H21" s="7"/>
    </row>
    <row r="22" spans="1:8" x14ac:dyDescent="0.2">
      <c r="A22" s="23"/>
      <c r="B22" s="23"/>
      <c r="C22" s="23"/>
      <c r="D22" s="24"/>
      <c r="E22" s="24"/>
      <c r="F22" s="25"/>
      <c r="G22" s="26"/>
      <c r="H22" s="23"/>
    </row>
    <row r="23" spans="1:8" ht="18" x14ac:dyDescent="0.25">
      <c r="A23" s="11" t="s">
        <v>925</v>
      </c>
      <c r="B23" s="11"/>
    </row>
    <row r="24" spans="1:8" ht="18" x14ac:dyDescent="0.25">
      <c r="A24" s="11"/>
      <c r="B24" s="11"/>
    </row>
    <row r="25" spans="1:8" s="16" customFormat="1" ht="15" x14ac:dyDescent="0.25">
      <c r="A25" s="12" t="s">
        <v>0</v>
      </c>
      <c r="B25" s="12" t="s">
        <v>1</v>
      </c>
      <c r="C25" s="12" t="s">
        <v>19</v>
      </c>
      <c r="D25" s="13" t="s">
        <v>424</v>
      </c>
      <c r="E25" s="13"/>
      <c r="F25" s="14" t="s">
        <v>113</v>
      </c>
      <c r="G25" s="15" t="s">
        <v>425</v>
      </c>
      <c r="H25" s="12" t="s">
        <v>426</v>
      </c>
    </row>
    <row r="26" spans="1:8" x14ac:dyDescent="0.2">
      <c r="A26" s="7"/>
      <c r="B26" s="41" t="s">
        <v>926</v>
      </c>
      <c r="C26" s="7"/>
      <c r="D26" s="8">
        <v>40</v>
      </c>
      <c r="E26" s="8"/>
      <c r="F26" s="9"/>
      <c r="G26" s="10"/>
      <c r="H26" s="7"/>
    </row>
    <row r="27" spans="1:8" x14ac:dyDescent="0.2">
      <c r="A27" s="7"/>
      <c r="B27" s="41" t="s">
        <v>927</v>
      </c>
      <c r="C27" s="7"/>
      <c r="D27" s="8">
        <v>22</v>
      </c>
      <c r="E27" s="8"/>
      <c r="F27" s="9"/>
      <c r="G27" s="10"/>
      <c r="H27" s="7"/>
    </row>
    <row r="28" spans="1:8" x14ac:dyDescent="0.2">
      <c r="A28" s="7"/>
      <c r="B28" s="41" t="s">
        <v>928</v>
      </c>
      <c r="C28" s="7"/>
      <c r="D28" s="8">
        <v>35</v>
      </c>
      <c r="E28" s="8"/>
      <c r="F28" s="9"/>
      <c r="G28" s="10"/>
      <c r="H28" s="7"/>
    </row>
    <row r="29" spans="1:8" x14ac:dyDescent="0.2">
      <c r="A29" s="7"/>
      <c r="B29" s="41" t="s">
        <v>929</v>
      </c>
      <c r="C29" s="7"/>
      <c r="D29" s="8">
        <v>25</v>
      </c>
      <c r="E29" s="8"/>
      <c r="F29" s="9"/>
      <c r="G29" s="10"/>
      <c r="H29" s="7"/>
    </row>
    <row r="30" spans="1:8" x14ac:dyDescent="0.2">
      <c r="A30" s="23"/>
      <c r="B30" s="23"/>
      <c r="C30" s="23"/>
      <c r="D30" s="24"/>
      <c r="E30" s="24"/>
      <c r="F30" s="25"/>
      <c r="G30" s="26"/>
      <c r="H30" s="23"/>
    </row>
    <row r="31" spans="1:8" ht="18" x14ac:dyDescent="0.25">
      <c r="A31" s="11" t="s">
        <v>17</v>
      </c>
    </row>
    <row r="32" spans="1:8" x14ac:dyDescent="0.2">
      <c r="A32" s="1"/>
    </row>
    <row r="33" spans="1:9" s="16" customFormat="1" ht="15" x14ac:dyDescent="0.25">
      <c r="A33" s="12" t="s">
        <v>0</v>
      </c>
      <c r="B33" s="12" t="s">
        <v>1</v>
      </c>
      <c r="C33" s="12" t="s">
        <v>19</v>
      </c>
      <c r="D33" s="13" t="s">
        <v>424</v>
      </c>
      <c r="E33" s="13"/>
      <c r="F33" s="14" t="s">
        <v>113</v>
      </c>
      <c r="G33" s="15" t="s">
        <v>425</v>
      </c>
      <c r="H33" s="12" t="s">
        <v>426</v>
      </c>
    </row>
    <row r="34" spans="1:9" x14ac:dyDescent="0.2">
      <c r="A34" s="7"/>
      <c r="B34" s="27" t="s">
        <v>599</v>
      </c>
      <c r="C34" s="27" t="s">
        <v>20</v>
      </c>
      <c r="D34" s="8">
        <v>31.189</v>
      </c>
      <c r="E34" s="8"/>
      <c r="F34" s="9"/>
      <c r="G34" s="10"/>
      <c r="H34" s="7"/>
      <c r="I34">
        <v>30.63</v>
      </c>
    </row>
    <row r="35" spans="1:9" x14ac:dyDescent="0.2">
      <c r="A35" s="7"/>
      <c r="B35" s="41" t="s">
        <v>956</v>
      </c>
      <c r="C35" s="41"/>
      <c r="D35" s="8">
        <v>1.1499999999999999</v>
      </c>
      <c r="E35" s="8"/>
      <c r="F35" s="9"/>
      <c r="G35" s="10"/>
      <c r="H35" s="7"/>
    </row>
    <row r="36" spans="1:9" x14ac:dyDescent="0.2">
      <c r="A36" s="7">
        <v>72986233</v>
      </c>
      <c r="B36" s="7" t="s">
        <v>24</v>
      </c>
      <c r="C36" s="7" t="s">
        <v>19</v>
      </c>
      <c r="D36" s="8">
        <v>1.96</v>
      </c>
      <c r="E36" s="8"/>
      <c r="F36" s="9"/>
      <c r="G36" s="10">
        <v>1.46</v>
      </c>
      <c r="H36" s="7">
        <v>1.4</v>
      </c>
      <c r="I36">
        <v>1.46</v>
      </c>
    </row>
    <row r="37" spans="1:9" x14ac:dyDescent="0.2">
      <c r="A37" s="7">
        <v>72986240</v>
      </c>
      <c r="B37" s="7" t="s">
        <v>25</v>
      </c>
      <c r="C37" s="7" t="s">
        <v>19</v>
      </c>
      <c r="D37" s="8">
        <v>1.96</v>
      </c>
      <c r="E37" s="8"/>
      <c r="F37" s="9"/>
      <c r="G37" s="10"/>
      <c r="H37" s="7">
        <v>1.4</v>
      </c>
    </row>
    <row r="38" spans="1:9" x14ac:dyDescent="0.2">
      <c r="A38" s="7">
        <v>4120252</v>
      </c>
      <c r="B38" s="7" t="s">
        <v>21</v>
      </c>
      <c r="C38" s="7" t="s">
        <v>19</v>
      </c>
      <c r="D38" s="8">
        <v>2.0299999999999998</v>
      </c>
      <c r="E38" s="8"/>
      <c r="F38" s="9"/>
      <c r="G38" s="10"/>
      <c r="H38" s="7"/>
    </row>
    <row r="39" spans="1:9" x14ac:dyDescent="0.2">
      <c r="A39" s="7">
        <v>4126810</v>
      </c>
      <c r="B39" s="7" t="s">
        <v>741</v>
      </c>
      <c r="C39" s="7" t="s">
        <v>19</v>
      </c>
      <c r="D39" s="8">
        <v>26.7</v>
      </c>
      <c r="E39" s="8"/>
      <c r="F39" s="9"/>
      <c r="G39" s="10"/>
      <c r="H39" s="7">
        <v>28.69</v>
      </c>
    </row>
    <row r="40" spans="1:9" x14ac:dyDescent="0.2">
      <c r="A40" s="7"/>
      <c r="B40" s="7" t="s">
        <v>721</v>
      </c>
      <c r="C40" s="7"/>
      <c r="D40" s="8">
        <v>3.41</v>
      </c>
      <c r="E40" s="8"/>
      <c r="F40" s="9"/>
      <c r="G40" s="10"/>
      <c r="H40" s="7"/>
    </row>
    <row r="41" spans="1:9" x14ac:dyDescent="0.2">
      <c r="A41" s="7"/>
      <c r="B41" s="41" t="s">
        <v>968</v>
      </c>
      <c r="C41" s="41" t="s">
        <v>463</v>
      </c>
      <c r="D41" s="8">
        <v>38.979999999999997</v>
      </c>
      <c r="E41" s="8"/>
      <c r="F41" s="9"/>
      <c r="G41" s="10"/>
      <c r="H41" s="7"/>
    </row>
    <row r="42" spans="1:9" x14ac:dyDescent="0.2">
      <c r="A42" s="7"/>
      <c r="B42" s="41" t="s">
        <v>958</v>
      </c>
      <c r="C42" s="41"/>
      <c r="D42" s="8">
        <v>27.17</v>
      </c>
      <c r="E42" s="8"/>
      <c r="F42" s="9"/>
      <c r="G42" s="10"/>
      <c r="H42" s="7"/>
    </row>
    <row r="43" spans="1:9" x14ac:dyDescent="0.2">
      <c r="A43" s="7"/>
      <c r="B43" s="7" t="s">
        <v>596</v>
      </c>
      <c r="C43" s="7" t="s">
        <v>20</v>
      </c>
      <c r="D43" s="8">
        <v>21.9</v>
      </c>
      <c r="E43" s="8"/>
      <c r="F43" s="9"/>
      <c r="G43" s="10"/>
      <c r="H43" s="7"/>
    </row>
    <row r="44" spans="1:9" x14ac:dyDescent="0.2">
      <c r="A44" s="7"/>
      <c r="B44" s="41" t="s">
        <v>957</v>
      </c>
      <c r="C44" s="41"/>
      <c r="D44" s="8">
        <v>0.66</v>
      </c>
      <c r="E44" s="8"/>
      <c r="F44" s="9"/>
      <c r="G44" s="10"/>
      <c r="H44" s="7"/>
    </row>
    <row r="45" spans="1:9" x14ac:dyDescent="0.2">
      <c r="A45" s="7"/>
      <c r="B45" s="41" t="s">
        <v>944</v>
      </c>
      <c r="C45" s="41" t="s">
        <v>945</v>
      </c>
      <c r="D45" s="8">
        <v>9.16</v>
      </c>
      <c r="E45" s="8"/>
      <c r="F45" s="9"/>
      <c r="G45" s="10"/>
      <c r="H45" s="7"/>
    </row>
    <row r="46" spans="1:9" x14ac:dyDescent="0.2">
      <c r="A46" s="7">
        <v>4131050</v>
      </c>
      <c r="B46" s="7" t="s">
        <v>23</v>
      </c>
      <c r="C46" s="7" t="s">
        <v>19</v>
      </c>
      <c r="D46" s="8">
        <v>3.77</v>
      </c>
      <c r="E46" s="8"/>
      <c r="F46" s="9"/>
      <c r="G46" s="10"/>
      <c r="H46" s="7">
        <v>3.46</v>
      </c>
      <c r="I46">
        <v>3.62</v>
      </c>
    </row>
    <row r="47" spans="1:9" x14ac:dyDescent="0.2">
      <c r="A47" s="41"/>
      <c r="B47" s="41" t="s">
        <v>966</v>
      </c>
      <c r="C47" s="7"/>
      <c r="D47" s="8">
        <v>6.87</v>
      </c>
      <c r="E47" s="8"/>
      <c r="F47" s="9"/>
      <c r="G47" s="10"/>
      <c r="H47" s="7"/>
    </row>
    <row r="48" spans="1:9" x14ac:dyDescent="0.2">
      <c r="A48" s="41"/>
      <c r="B48" s="41" t="s">
        <v>969</v>
      </c>
      <c r="C48" s="41" t="s">
        <v>19</v>
      </c>
      <c r="D48" s="8">
        <v>4.58</v>
      </c>
      <c r="E48" s="8"/>
      <c r="F48" s="9"/>
      <c r="G48" s="10"/>
      <c r="H48" s="7"/>
    </row>
    <row r="49" spans="1:9" x14ac:dyDescent="0.2">
      <c r="A49" s="7">
        <v>42015</v>
      </c>
      <c r="B49" s="7" t="s">
        <v>22</v>
      </c>
      <c r="C49" s="7" t="s">
        <v>19</v>
      </c>
      <c r="D49" s="8">
        <v>4.04</v>
      </c>
      <c r="E49" s="8"/>
      <c r="F49" s="9"/>
      <c r="G49" s="10"/>
      <c r="H49" s="7"/>
      <c r="I49">
        <v>3.86</v>
      </c>
    </row>
    <row r="50" spans="1:9" x14ac:dyDescent="0.2">
      <c r="A50" s="7">
        <v>4124076</v>
      </c>
      <c r="B50" s="7" t="s">
        <v>30</v>
      </c>
      <c r="C50" s="7" t="s">
        <v>19</v>
      </c>
      <c r="D50" s="8">
        <v>3.05</v>
      </c>
      <c r="E50" s="8"/>
      <c r="F50" s="9"/>
      <c r="G50" s="10">
        <v>2.39</v>
      </c>
      <c r="H50" s="7">
        <v>2.2999999999999998</v>
      </c>
      <c r="I50">
        <v>2.74</v>
      </c>
    </row>
    <row r="51" spans="1:9" x14ac:dyDescent="0.2">
      <c r="A51" s="7"/>
      <c r="B51" s="41" t="s">
        <v>950</v>
      </c>
      <c r="C51" s="41"/>
      <c r="D51" s="8">
        <v>5.82</v>
      </c>
      <c r="E51" s="8"/>
      <c r="F51" s="9"/>
      <c r="G51" s="10"/>
      <c r="H51" s="7"/>
    </row>
    <row r="52" spans="1:9" x14ac:dyDescent="0.2">
      <c r="A52" s="7">
        <v>72963128</v>
      </c>
      <c r="B52" s="7" t="s">
        <v>595</v>
      </c>
      <c r="C52" s="7" t="s">
        <v>20</v>
      </c>
      <c r="D52" s="8">
        <v>47.61</v>
      </c>
      <c r="E52" s="8"/>
      <c r="F52" s="9"/>
      <c r="G52" s="10"/>
      <c r="H52" s="7"/>
    </row>
    <row r="53" spans="1:9" x14ac:dyDescent="0.2">
      <c r="A53" s="7"/>
      <c r="B53" s="7" t="s">
        <v>740</v>
      </c>
      <c r="C53" s="7" t="s">
        <v>20</v>
      </c>
      <c r="D53" s="8">
        <v>40.619999999999997</v>
      </c>
      <c r="E53" s="8"/>
      <c r="F53" s="9"/>
      <c r="G53" s="10"/>
      <c r="H53" s="7"/>
      <c r="I53">
        <v>39.99</v>
      </c>
    </row>
    <row r="54" spans="1:9" x14ac:dyDescent="0.2">
      <c r="A54" s="7"/>
      <c r="B54" s="41" t="s">
        <v>952</v>
      </c>
      <c r="C54" s="41"/>
      <c r="D54" s="8">
        <v>2.2400000000000002</v>
      </c>
      <c r="E54" s="8"/>
      <c r="F54" s="9"/>
      <c r="G54" s="10"/>
      <c r="H54" s="7"/>
    </row>
    <row r="55" spans="1:9" x14ac:dyDescent="0.2">
      <c r="A55" s="7"/>
      <c r="B55" s="41" t="s">
        <v>953</v>
      </c>
      <c r="C55" s="41"/>
      <c r="D55" s="8">
        <v>2.2400000000000002</v>
      </c>
      <c r="E55" s="8"/>
      <c r="F55" s="9"/>
      <c r="G55" s="10"/>
      <c r="H55" s="7"/>
    </row>
    <row r="56" spans="1:9" x14ac:dyDescent="0.2">
      <c r="A56" s="7"/>
      <c r="B56" s="41" t="s">
        <v>948</v>
      </c>
      <c r="C56" s="41"/>
      <c r="D56" s="8">
        <v>2.2400000000000002</v>
      </c>
      <c r="E56" s="8"/>
      <c r="F56" s="9"/>
      <c r="G56" s="10"/>
      <c r="H56" s="7"/>
    </row>
    <row r="57" spans="1:9" x14ac:dyDescent="0.2">
      <c r="A57" s="7">
        <v>40530</v>
      </c>
      <c r="B57" s="7" t="s">
        <v>18</v>
      </c>
      <c r="C57" s="7" t="s">
        <v>20</v>
      </c>
      <c r="D57" s="8">
        <v>48.21</v>
      </c>
      <c r="E57" s="8"/>
      <c r="F57" s="9"/>
      <c r="G57" s="10"/>
      <c r="H57" s="7">
        <v>45.9</v>
      </c>
    </row>
    <row r="58" spans="1:9" x14ac:dyDescent="0.2">
      <c r="A58" s="7"/>
      <c r="B58" s="41" t="s">
        <v>971</v>
      </c>
      <c r="C58" s="7"/>
      <c r="D58" s="8">
        <v>14.32</v>
      </c>
      <c r="E58" s="8"/>
      <c r="F58" s="9"/>
      <c r="G58" s="10"/>
      <c r="H58" s="7"/>
    </row>
    <row r="59" spans="1:9" x14ac:dyDescent="0.2">
      <c r="A59" s="7"/>
      <c r="B59" s="41" t="s">
        <v>949</v>
      </c>
      <c r="C59" s="41"/>
      <c r="D59" s="8">
        <v>8.48</v>
      </c>
      <c r="E59" s="8"/>
      <c r="F59" s="9"/>
      <c r="G59" s="10"/>
      <c r="H59" s="7"/>
    </row>
    <row r="60" spans="1:9" x14ac:dyDescent="0.2">
      <c r="A60" s="7"/>
      <c r="B60" s="41" t="s">
        <v>954</v>
      </c>
      <c r="C60" s="41"/>
      <c r="D60" s="8">
        <v>35</v>
      </c>
      <c r="E60" s="8"/>
      <c r="F60" s="9"/>
      <c r="G60" s="10"/>
      <c r="H60" s="7"/>
    </row>
    <row r="61" spans="1:9" x14ac:dyDescent="0.2">
      <c r="A61" s="7"/>
      <c r="B61" s="41" t="s">
        <v>939</v>
      </c>
      <c r="C61" s="41"/>
      <c r="D61" s="8">
        <v>48.32</v>
      </c>
      <c r="E61" s="8"/>
      <c r="F61" s="9"/>
      <c r="G61" s="10"/>
      <c r="H61" s="7"/>
    </row>
    <row r="62" spans="1:9" x14ac:dyDescent="0.2">
      <c r="A62" s="7"/>
      <c r="B62" s="41" t="s">
        <v>973</v>
      </c>
      <c r="C62" s="41"/>
      <c r="D62" s="8">
        <v>2.66</v>
      </c>
      <c r="E62" s="8"/>
      <c r="F62" s="9"/>
      <c r="G62" s="10"/>
      <c r="H62" s="7"/>
    </row>
    <row r="63" spans="1:9" x14ac:dyDescent="0.2">
      <c r="A63" s="7"/>
      <c r="B63" s="41" t="s">
        <v>972</v>
      </c>
      <c r="C63" s="41"/>
      <c r="D63" s="8">
        <v>2.66</v>
      </c>
      <c r="E63" s="8"/>
      <c r="F63" s="9"/>
      <c r="G63" s="10"/>
      <c r="H63" s="7"/>
    </row>
    <row r="64" spans="1:9" x14ac:dyDescent="0.2">
      <c r="A64" s="7"/>
      <c r="B64" s="41" t="s">
        <v>975</v>
      </c>
      <c r="C64" s="41"/>
      <c r="D64" s="8">
        <v>3.03</v>
      </c>
      <c r="E64" s="8"/>
      <c r="F64" s="9"/>
      <c r="G64" s="10"/>
      <c r="H64" s="7"/>
    </row>
    <row r="65" spans="1:9" x14ac:dyDescent="0.2">
      <c r="A65" s="7"/>
      <c r="B65" s="41" t="s">
        <v>974</v>
      </c>
      <c r="C65" s="41"/>
      <c r="D65" s="8">
        <v>2.66</v>
      </c>
      <c r="E65" s="8"/>
      <c r="F65" s="9"/>
      <c r="G65" s="10"/>
      <c r="H65" s="7"/>
    </row>
    <row r="66" spans="1:9" x14ac:dyDescent="0.2">
      <c r="A66" s="7"/>
      <c r="B66" s="7" t="s">
        <v>31</v>
      </c>
      <c r="C66" s="7" t="s">
        <v>19</v>
      </c>
      <c r="D66" s="8">
        <v>2.6</v>
      </c>
      <c r="E66" s="8"/>
      <c r="F66" s="9"/>
      <c r="G66" s="10"/>
      <c r="H66" s="7"/>
    </row>
    <row r="67" spans="1:9" x14ac:dyDescent="0.2">
      <c r="A67" s="7"/>
      <c r="B67" s="41" t="s">
        <v>961</v>
      </c>
      <c r="C67" s="7"/>
      <c r="D67" s="8">
        <v>8.42</v>
      </c>
      <c r="E67" s="8"/>
      <c r="F67" s="9"/>
      <c r="G67" s="10"/>
      <c r="H67" s="7"/>
    </row>
    <row r="68" spans="1:9" x14ac:dyDescent="0.2">
      <c r="A68" s="7"/>
      <c r="B68" s="41" t="s">
        <v>946</v>
      </c>
      <c r="C68" s="41"/>
      <c r="D68" s="8">
        <v>8.42</v>
      </c>
      <c r="E68" s="8"/>
      <c r="F68" s="9"/>
      <c r="G68" s="10"/>
      <c r="H68" s="7"/>
    </row>
    <row r="69" spans="1:9" x14ac:dyDescent="0.2">
      <c r="A69" s="7"/>
      <c r="B69" s="41" t="s">
        <v>941</v>
      </c>
      <c r="C69" s="41" t="s">
        <v>942</v>
      </c>
      <c r="D69" s="8">
        <v>27.75</v>
      </c>
      <c r="E69" s="8"/>
      <c r="F69" s="9"/>
      <c r="G69" s="10"/>
      <c r="H69" s="7"/>
    </row>
    <row r="70" spans="1:9" x14ac:dyDescent="0.2">
      <c r="A70" s="7"/>
      <c r="B70" s="41" t="s">
        <v>959</v>
      </c>
      <c r="C70" s="41"/>
      <c r="D70" s="8">
        <v>7.32</v>
      </c>
      <c r="E70" s="8"/>
      <c r="F70" s="9"/>
      <c r="G70" s="10"/>
      <c r="H70" s="7"/>
    </row>
    <row r="71" spans="1:9" x14ac:dyDescent="0.2">
      <c r="A71" s="7"/>
      <c r="B71" s="41" t="s">
        <v>960</v>
      </c>
      <c r="C71" s="41"/>
      <c r="D71" s="8">
        <v>7.32</v>
      </c>
      <c r="E71" s="8"/>
      <c r="F71" s="9"/>
      <c r="G71" s="10"/>
      <c r="H71" s="7"/>
    </row>
    <row r="72" spans="1:9" x14ac:dyDescent="0.2">
      <c r="A72" s="7">
        <v>4120283</v>
      </c>
      <c r="B72" s="7" t="s">
        <v>28</v>
      </c>
      <c r="C72" s="7" t="s">
        <v>19</v>
      </c>
      <c r="D72" s="8">
        <v>6.33</v>
      </c>
      <c r="E72" s="8"/>
      <c r="F72" s="9"/>
      <c r="G72" s="10"/>
      <c r="H72" s="7"/>
    </row>
    <row r="73" spans="1:9" x14ac:dyDescent="0.2">
      <c r="A73" s="7"/>
      <c r="B73" s="41" t="s">
        <v>940</v>
      </c>
      <c r="C73" s="7"/>
      <c r="D73" s="8">
        <v>45.27</v>
      </c>
      <c r="E73" s="8"/>
      <c r="F73" s="9"/>
      <c r="G73" s="10"/>
      <c r="H73" s="7"/>
    </row>
    <row r="74" spans="1:9" x14ac:dyDescent="0.2">
      <c r="A74" s="7"/>
      <c r="B74" s="41" t="s">
        <v>943</v>
      </c>
      <c r="C74" s="41" t="s">
        <v>496</v>
      </c>
      <c r="D74" s="8">
        <v>41.65</v>
      </c>
      <c r="E74" s="8"/>
      <c r="F74" s="9"/>
      <c r="G74" s="10"/>
      <c r="H74" s="7"/>
    </row>
    <row r="75" spans="1:9" x14ac:dyDescent="0.2">
      <c r="A75" s="7"/>
      <c r="B75" s="7" t="s">
        <v>720</v>
      </c>
      <c r="C75" s="7"/>
      <c r="D75" s="8">
        <v>4.26</v>
      </c>
      <c r="E75" s="8"/>
      <c r="F75" s="9"/>
      <c r="G75" s="10"/>
      <c r="H75" s="7"/>
    </row>
    <row r="76" spans="1:9" x14ac:dyDescent="0.2">
      <c r="A76" s="7">
        <v>4126827</v>
      </c>
      <c r="B76" s="7" t="s">
        <v>26</v>
      </c>
      <c r="C76" s="7" t="s">
        <v>19</v>
      </c>
      <c r="D76" s="8">
        <v>34.020000000000003</v>
      </c>
      <c r="E76" s="8"/>
      <c r="F76" s="9"/>
      <c r="G76" s="10"/>
      <c r="H76" s="7">
        <v>33.69</v>
      </c>
      <c r="I76">
        <v>34.78</v>
      </c>
    </row>
    <row r="77" spans="1:9" x14ac:dyDescent="0.2">
      <c r="A77" s="7"/>
      <c r="B77" s="41" t="s">
        <v>970</v>
      </c>
      <c r="C77" s="7"/>
      <c r="D77" s="8">
        <v>33.5</v>
      </c>
      <c r="E77" s="8"/>
      <c r="F77" s="9"/>
      <c r="G77" s="10"/>
      <c r="H77" s="7"/>
    </row>
    <row r="78" spans="1:9" x14ac:dyDescent="0.2">
      <c r="A78" s="7"/>
      <c r="B78" s="41" t="s">
        <v>962</v>
      </c>
      <c r="C78" s="7"/>
      <c r="D78" s="8">
        <v>1.21</v>
      </c>
      <c r="E78" s="8"/>
      <c r="F78" s="9"/>
      <c r="G78" s="10"/>
      <c r="H78" s="7"/>
    </row>
    <row r="79" spans="1:9" x14ac:dyDescent="0.2">
      <c r="A79" s="7"/>
      <c r="B79" s="41" t="s">
        <v>963</v>
      </c>
      <c r="C79" s="7"/>
      <c r="D79" s="8">
        <v>1.21</v>
      </c>
      <c r="E79" s="8"/>
      <c r="F79" s="9"/>
      <c r="G79" s="10"/>
      <c r="H79" s="7"/>
    </row>
    <row r="80" spans="1:9" x14ac:dyDescent="0.2">
      <c r="A80" s="7"/>
      <c r="B80" s="41" t="s">
        <v>947</v>
      </c>
      <c r="C80" s="41"/>
      <c r="D80" s="8">
        <v>10.35</v>
      </c>
      <c r="E80" s="8"/>
      <c r="F80" s="9"/>
      <c r="G80" s="10"/>
      <c r="H80" s="7"/>
    </row>
    <row r="81" spans="1:9" x14ac:dyDescent="0.2">
      <c r="A81" s="7"/>
      <c r="B81" s="41" t="s">
        <v>951</v>
      </c>
      <c r="C81" s="41"/>
      <c r="D81" s="8">
        <v>64</v>
      </c>
      <c r="E81" s="8"/>
      <c r="F81" s="9"/>
      <c r="G81" s="10"/>
      <c r="H81" s="7"/>
    </row>
    <row r="82" spans="1:9" x14ac:dyDescent="0.2">
      <c r="A82" s="7"/>
      <c r="B82" s="7" t="s">
        <v>27</v>
      </c>
      <c r="C82" s="7" t="s">
        <v>19</v>
      </c>
      <c r="D82" s="8">
        <v>1.45</v>
      </c>
      <c r="E82" s="8"/>
      <c r="F82" s="9"/>
      <c r="G82" s="10"/>
      <c r="H82" s="7"/>
    </row>
    <row r="83" spans="1:9" x14ac:dyDescent="0.2">
      <c r="A83" s="7"/>
      <c r="B83" s="7" t="s">
        <v>722</v>
      </c>
      <c r="C83" s="7"/>
      <c r="D83" s="8">
        <v>1.8</v>
      </c>
      <c r="E83" s="8"/>
      <c r="F83" s="9"/>
      <c r="G83" s="10"/>
      <c r="H83" s="7"/>
    </row>
    <row r="84" spans="1:9" x14ac:dyDescent="0.2">
      <c r="A84" s="7"/>
      <c r="B84" s="41" t="s">
        <v>967</v>
      </c>
      <c r="C84" s="7"/>
      <c r="D84" s="8">
        <v>0.94</v>
      </c>
      <c r="E84" s="8"/>
      <c r="F84" s="9"/>
      <c r="G84" s="10"/>
      <c r="H84" s="7"/>
    </row>
    <row r="85" spans="1:9" x14ac:dyDescent="0.2">
      <c r="A85" s="7"/>
      <c r="B85" s="41" t="s">
        <v>964</v>
      </c>
      <c r="C85" s="41" t="s">
        <v>965</v>
      </c>
      <c r="D85" s="8">
        <v>8.6</v>
      </c>
      <c r="E85" s="8"/>
      <c r="F85" s="9"/>
      <c r="G85" s="10"/>
      <c r="H85" s="7"/>
    </row>
    <row r="86" spans="1:9" x14ac:dyDescent="0.2">
      <c r="A86" s="7"/>
      <c r="B86" s="41" t="s">
        <v>955</v>
      </c>
      <c r="C86" s="41"/>
      <c r="D86" s="8">
        <v>1.1499999999999999</v>
      </c>
      <c r="E86" s="8"/>
      <c r="F86" s="9"/>
      <c r="G86" s="10"/>
      <c r="H86" s="7"/>
    </row>
    <row r="87" spans="1:9" x14ac:dyDescent="0.2">
      <c r="A87" s="7">
        <v>4125578</v>
      </c>
      <c r="B87" s="7" t="s">
        <v>29</v>
      </c>
      <c r="C87" s="7" t="s">
        <v>19</v>
      </c>
      <c r="D87" s="8">
        <v>74.87</v>
      </c>
      <c r="E87" s="8"/>
      <c r="F87" s="9"/>
      <c r="G87" s="10"/>
      <c r="H87" s="7"/>
    </row>
    <row r="89" spans="1:9" ht="18" x14ac:dyDescent="0.25">
      <c r="A89" s="11" t="s">
        <v>32</v>
      </c>
      <c r="G89" s="4" t="s">
        <v>600</v>
      </c>
    </row>
    <row r="90" spans="1:9" s="16" customFormat="1" ht="18" x14ac:dyDescent="0.25">
      <c r="A90" s="11"/>
      <c r="B90"/>
      <c r="C90"/>
      <c r="D90" s="2"/>
      <c r="E90" s="2"/>
      <c r="F90" s="3"/>
      <c r="G90" s="4"/>
      <c r="H90"/>
      <c r="I90"/>
    </row>
    <row r="91" spans="1:9" ht="15" x14ac:dyDescent="0.25">
      <c r="A91" s="12" t="s">
        <v>0</v>
      </c>
      <c r="B91" s="12" t="s">
        <v>1</v>
      </c>
      <c r="C91" s="12" t="s">
        <v>19</v>
      </c>
      <c r="D91" s="13" t="s">
        <v>424</v>
      </c>
      <c r="E91" s="13"/>
      <c r="F91" s="14" t="s">
        <v>113</v>
      </c>
      <c r="G91" s="15" t="s">
        <v>425</v>
      </c>
      <c r="H91" s="12" t="s">
        <v>426</v>
      </c>
      <c r="I91" s="16"/>
    </row>
    <row r="92" spans="1:9" x14ac:dyDescent="0.2">
      <c r="A92" s="7">
        <v>1999993</v>
      </c>
      <c r="B92" s="7" t="s">
        <v>33</v>
      </c>
      <c r="C92" s="7" t="s">
        <v>19</v>
      </c>
      <c r="D92" s="8">
        <v>9</v>
      </c>
      <c r="E92" s="8"/>
      <c r="F92" s="9"/>
      <c r="G92" s="10"/>
      <c r="H92" s="7"/>
    </row>
    <row r="93" spans="1:9" x14ac:dyDescent="0.2">
      <c r="A93" s="7">
        <v>5001101</v>
      </c>
      <c r="B93" s="7" t="s">
        <v>34</v>
      </c>
      <c r="C93" s="7" t="s">
        <v>20</v>
      </c>
      <c r="D93" s="8">
        <v>10.75</v>
      </c>
      <c r="E93" s="8"/>
      <c r="F93" s="9"/>
      <c r="G93" s="10"/>
      <c r="H93" s="7">
        <v>15.8</v>
      </c>
      <c r="I93">
        <v>12.8</v>
      </c>
    </row>
    <row r="94" spans="1:9" x14ac:dyDescent="0.2">
      <c r="A94" s="7">
        <v>5003001</v>
      </c>
      <c r="B94" s="7" t="s">
        <v>36</v>
      </c>
      <c r="C94" s="7" t="s">
        <v>20</v>
      </c>
      <c r="D94" s="8">
        <f>16.5*1.037</f>
        <v>17.110499999999998</v>
      </c>
      <c r="E94" s="8"/>
      <c r="F94" s="9"/>
      <c r="G94" s="10"/>
      <c r="H94" s="7"/>
    </row>
    <row r="95" spans="1:9" x14ac:dyDescent="0.2">
      <c r="A95" s="7">
        <v>5004010</v>
      </c>
      <c r="B95" s="7" t="s">
        <v>35</v>
      </c>
      <c r="C95" s="7" t="s">
        <v>20</v>
      </c>
      <c r="D95" s="8">
        <v>19.899999999999999</v>
      </c>
      <c r="E95" s="8"/>
      <c r="F95" s="9"/>
      <c r="G95" s="10"/>
      <c r="H95" s="7">
        <v>18.41</v>
      </c>
    </row>
    <row r="96" spans="1:9" x14ac:dyDescent="0.2">
      <c r="A96" s="7">
        <v>5001130</v>
      </c>
      <c r="B96" s="7" t="s">
        <v>37</v>
      </c>
      <c r="C96" s="7" t="s">
        <v>19</v>
      </c>
      <c r="D96" s="8" t="s">
        <v>38</v>
      </c>
      <c r="E96" s="8"/>
      <c r="F96" s="9"/>
      <c r="G96" s="10"/>
      <c r="H96" s="7"/>
    </row>
    <row r="97" spans="1:9" x14ac:dyDescent="0.2">
      <c r="A97" s="23"/>
      <c r="B97" s="23"/>
      <c r="C97" s="23"/>
      <c r="D97" s="24"/>
      <c r="E97" s="24"/>
      <c r="F97" s="25"/>
      <c r="G97" s="26"/>
      <c r="H97" s="23"/>
    </row>
    <row r="98" spans="1:9" ht="18" x14ac:dyDescent="0.25">
      <c r="A98" s="11" t="s">
        <v>765</v>
      </c>
      <c r="G98" s="4" t="s">
        <v>600</v>
      </c>
    </row>
    <row r="99" spans="1:9" ht="18" x14ac:dyDescent="0.25">
      <c r="A99" s="11"/>
    </row>
    <row r="100" spans="1:9" ht="15" x14ac:dyDescent="0.25">
      <c r="A100" s="12" t="s">
        <v>0</v>
      </c>
      <c r="B100" s="12" t="s">
        <v>1</v>
      </c>
      <c r="C100" s="12" t="s">
        <v>19</v>
      </c>
      <c r="D100" s="13" t="s">
        <v>767</v>
      </c>
      <c r="E100" s="13"/>
      <c r="F100" s="14" t="s">
        <v>113</v>
      </c>
      <c r="G100" s="15" t="s">
        <v>425</v>
      </c>
      <c r="H100" s="12" t="s">
        <v>426</v>
      </c>
      <c r="I100" s="16"/>
    </row>
    <row r="101" spans="1:9" x14ac:dyDescent="0.2">
      <c r="A101" s="7"/>
      <c r="B101" s="7" t="s">
        <v>766</v>
      </c>
      <c r="C101" s="7">
        <v>1</v>
      </c>
      <c r="D101" s="8">
        <v>0.96</v>
      </c>
      <c r="E101" s="8"/>
      <c r="F101" s="9"/>
      <c r="G101" s="10"/>
      <c r="H101" s="7"/>
    </row>
    <row r="102" spans="1:9" x14ac:dyDescent="0.2">
      <c r="A102" s="7"/>
      <c r="B102" s="7"/>
      <c r="C102" s="7"/>
      <c r="D102" s="8"/>
      <c r="E102" s="8"/>
      <c r="F102" s="9"/>
      <c r="G102" s="10"/>
      <c r="H102" s="7"/>
    </row>
    <row r="103" spans="1:9" x14ac:dyDescent="0.2">
      <c r="A103" s="23"/>
      <c r="B103" s="23"/>
      <c r="C103" s="23"/>
      <c r="D103" s="24"/>
      <c r="E103" s="24"/>
      <c r="F103" s="25"/>
      <c r="G103" s="26"/>
      <c r="H103" s="23"/>
    </row>
    <row r="105" spans="1:9" ht="18" x14ac:dyDescent="0.25">
      <c r="A105" s="11" t="s">
        <v>739</v>
      </c>
      <c r="B105" s="17"/>
    </row>
    <row r="106" spans="1:9" x14ac:dyDescent="0.2">
      <c r="A106" s="1"/>
    </row>
    <row r="107" spans="1:9" s="16" customFormat="1" ht="15" x14ac:dyDescent="0.25">
      <c r="A107" s="12" t="s">
        <v>0</v>
      </c>
      <c r="B107" s="12" t="s">
        <v>1</v>
      </c>
      <c r="C107" s="12" t="s">
        <v>19</v>
      </c>
      <c r="D107" s="13" t="s">
        <v>424</v>
      </c>
      <c r="E107" s="13"/>
      <c r="F107" s="14" t="s">
        <v>113</v>
      </c>
      <c r="G107" s="15" t="s">
        <v>427</v>
      </c>
      <c r="H107" s="12" t="s">
        <v>426</v>
      </c>
    </row>
    <row r="108" spans="1:9" x14ac:dyDescent="0.2">
      <c r="A108" s="7"/>
      <c r="B108" s="7" t="s">
        <v>51</v>
      </c>
      <c r="C108" s="7" t="s">
        <v>19</v>
      </c>
      <c r="D108" s="8"/>
      <c r="E108" s="8"/>
      <c r="F108" s="9"/>
      <c r="G108" s="10"/>
      <c r="H108" s="7"/>
    </row>
    <row r="109" spans="1:9" x14ac:dyDescent="0.2">
      <c r="A109" s="7"/>
      <c r="B109" s="7" t="s">
        <v>54</v>
      </c>
      <c r="C109" s="7" t="s">
        <v>19</v>
      </c>
      <c r="D109" s="8"/>
      <c r="E109" s="8"/>
      <c r="F109" s="9"/>
      <c r="G109" s="10"/>
      <c r="H109" s="7"/>
    </row>
    <row r="110" spans="1:9" x14ac:dyDescent="0.2">
      <c r="A110" s="7"/>
      <c r="B110" s="7" t="s">
        <v>44</v>
      </c>
      <c r="C110" s="7" t="s">
        <v>19</v>
      </c>
      <c r="D110" s="8">
        <v>5.6</v>
      </c>
      <c r="E110" s="8"/>
      <c r="F110" s="9"/>
      <c r="G110" s="10">
        <v>6.3</v>
      </c>
      <c r="H110" s="7"/>
    </row>
    <row r="111" spans="1:9" x14ac:dyDescent="0.2">
      <c r="A111" s="7"/>
      <c r="B111" s="7" t="s">
        <v>41</v>
      </c>
      <c r="C111" s="7" t="s">
        <v>19</v>
      </c>
      <c r="D111" s="8">
        <v>4.5999999999999996</v>
      </c>
      <c r="E111" s="8"/>
      <c r="F111" s="9">
        <v>0.1</v>
      </c>
      <c r="G111" s="10">
        <v>4.95</v>
      </c>
      <c r="H111" s="7"/>
    </row>
    <row r="112" spans="1:9" x14ac:dyDescent="0.2">
      <c r="A112" s="7"/>
      <c r="B112" s="7" t="s">
        <v>48</v>
      </c>
      <c r="C112" s="7" t="s">
        <v>57</v>
      </c>
      <c r="D112" s="8">
        <v>63</v>
      </c>
      <c r="E112" s="8"/>
      <c r="F112" s="9"/>
      <c r="G112" s="10"/>
      <c r="H112" s="7"/>
    </row>
    <row r="113" spans="1:8" x14ac:dyDescent="0.2">
      <c r="A113" s="7"/>
      <c r="B113" s="7" t="s">
        <v>47</v>
      </c>
      <c r="C113" s="7" t="s">
        <v>57</v>
      </c>
      <c r="D113" s="8">
        <v>58</v>
      </c>
      <c r="E113" s="8"/>
      <c r="F113" s="9"/>
      <c r="G113" s="10">
        <v>63</v>
      </c>
      <c r="H113" s="7"/>
    </row>
    <row r="114" spans="1:8" x14ac:dyDescent="0.2">
      <c r="A114" s="7"/>
      <c r="B114" s="7" t="s">
        <v>49</v>
      </c>
      <c r="C114" s="7" t="s">
        <v>57</v>
      </c>
      <c r="D114" s="8">
        <v>63</v>
      </c>
      <c r="E114" s="8"/>
      <c r="F114" s="9"/>
      <c r="G114" s="10"/>
      <c r="H114" s="7"/>
    </row>
    <row r="115" spans="1:8" x14ac:dyDescent="0.2">
      <c r="A115" s="7"/>
      <c r="B115" s="7" t="s">
        <v>56</v>
      </c>
      <c r="C115" s="7" t="s">
        <v>19</v>
      </c>
      <c r="D115" s="8"/>
      <c r="E115" s="8"/>
      <c r="F115" s="9"/>
      <c r="G115" s="10"/>
      <c r="H115" s="7"/>
    </row>
    <row r="116" spans="1:8" x14ac:dyDescent="0.2">
      <c r="A116" s="7"/>
      <c r="B116" s="7" t="s">
        <v>43</v>
      </c>
      <c r="C116" s="7" t="s">
        <v>19</v>
      </c>
      <c r="D116" s="8">
        <v>4.5999999999999996</v>
      </c>
      <c r="E116" s="8"/>
      <c r="F116" s="9"/>
      <c r="G116" s="10"/>
      <c r="H116" s="7"/>
    </row>
    <row r="117" spans="1:8" x14ac:dyDescent="0.2">
      <c r="A117" s="7"/>
      <c r="B117" s="7" t="s">
        <v>46</v>
      </c>
      <c r="C117" s="7" t="s">
        <v>19</v>
      </c>
      <c r="D117" s="8"/>
      <c r="E117" s="8"/>
      <c r="F117" s="9"/>
      <c r="G117" s="10"/>
      <c r="H117" s="7"/>
    </row>
    <row r="118" spans="1:8" x14ac:dyDescent="0.2">
      <c r="A118" s="7"/>
      <c r="B118" s="7" t="s">
        <v>45</v>
      </c>
      <c r="C118" s="7" t="s">
        <v>19</v>
      </c>
      <c r="D118" s="8">
        <v>5.6</v>
      </c>
      <c r="E118" s="8"/>
      <c r="F118" s="9"/>
      <c r="G118" s="10">
        <v>6.3</v>
      </c>
      <c r="H118" s="7"/>
    </row>
    <row r="119" spans="1:8" x14ac:dyDescent="0.2">
      <c r="A119" s="7"/>
      <c r="B119" s="7" t="s">
        <v>50</v>
      </c>
      <c r="C119" s="7" t="s">
        <v>19</v>
      </c>
      <c r="D119" s="8"/>
      <c r="E119" s="8"/>
      <c r="F119" s="9"/>
      <c r="G119" s="10"/>
      <c r="H119" s="7"/>
    </row>
    <row r="120" spans="1:8" x14ac:dyDescent="0.2">
      <c r="A120" s="7"/>
      <c r="B120" s="7" t="s">
        <v>40</v>
      </c>
      <c r="C120" s="7" t="s">
        <v>19</v>
      </c>
      <c r="D120" s="8">
        <v>4.5999999999999996</v>
      </c>
      <c r="E120" s="8"/>
      <c r="F120" s="9"/>
      <c r="G120" s="10">
        <v>4.95</v>
      </c>
      <c r="H120" s="7"/>
    </row>
    <row r="121" spans="1:8" x14ac:dyDescent="0.2">
      <c r="A121" s="7"/>
      <c r="B121" s="7" t="s">
        <v>39</v>
      </c>
      <c r="C121" s="7" t="s">
        <v>57</v>
      </c>
      <c r="D121" s="8">
        <v>36</v>
      </c>
      <c r="E121" s="8"/>
      <c r="F121" s="9"/>
      <c r="G121" s="10">
        <v>40.950000000000003</v>
      </c>
      <c r="H121" s="7"/>
    </row>
    <row r="122" spans="1:8" x14ac:dyDescent="0.2">
      <c r="A122" s="7"/>
      <c r="B122" s="7" t="s">
        <v>55</v>
      </c>
      <c r="C122" s="7" t="s">
        <v>19</v>
      </c>
      <c r="D122" s="8"/>
      <c r="E122" s="8"/>
      <c r="F122" s="9"/>
      <c r="G122" s="10"/>
      <c r="H122" s="7"/>
    </row>
    <row r="123" spans="1:8" x14ac:dyDescent="0.2">
      <c r="A123" s="7"/>
      <c r="B123" s="7" t="s">
        <v>52</v>
      </c>
      <c r="C123" s="7" t="s">
        <v>19</v>
      </c>
      <c r="D123" s="8"/>
      <c r="E123" s="8"/>
      <c r="F123" s="9"/>
      <c r="G123" s="10"/>
      <c r="H123" s="7"/>
    </row>
    <row r="124" spans="1:8" x14ac:dyDescent="0.2">
      <c r="A124" s="7"/>
      <c r="B124" s="7" t="s">
        <v>42</v>
      </c>
      <c r="C124" s="7" t="s">
        <v>19</v>
      </c>
      <c r="D124" s="8">
        <v>4.5999999999999996</v>
      </c>
      <c r="E124" s="8"/>
      <c r="F124" s="9"/>
      <c r="G124" s="10">
        <v>4.95</v>
      </c>
      <c r="H124" s="7"/>
    </row>
    <row r="125" spans="1:8" x14ac:dyDescent="0.2">
      <c r="A125" s="7"/>
      <c r="B125" s="7" t="s">
        <v>53</v>
      </c>
      <c r="C125" s="7" t="s">
        <v>19</v>
      </c>
      <c r="D125" s="8"/>
      <c r="E125" s="8"/>
      <c r="F125" s="9"/>
      <c r="G125" s="10"/>
      <c r="H125" s="7"/>
    </row>
    <row r="127" spans="1:8" ht="18" hidden="1" x14ac:dyDescent="0.25">
      <c r="A127" s="11" t="s">
        <v>58</v>
      </c>
    </row>
    <row r="128" spans="1:8" hidden="1" x14ac:dyDescent="0.2">
      <c r="A128" s="1"/>
    </row>
    <row r="129" spans="1:8" s="16" customFormat="1" ht="15" hidden="1" x14ac:dyDescent="0.25">
      <c r="A129" s="12" t="s">
        <v>0</v>
      </c>
      <c r="B129" s="12" t="s">
        <v>1</v>
      </c>
      <c r="C129" s="12" t="s">
        <v>19</v>
      </c>
      <c r="D129" s="13" t="s">
        <v>424</v>
      </c>
      <c r="E129" s="13"/>
      <c r="F129" s="14" t="s">
        <v>428</v>
      </c>
      <c r="G129" s="15" t="s">
        <v>425</v>
      </c>
      <c r="H129" s="12" t="s">
        <v>426</v>
      </c>
    </row>
    <row r="130" spans="1:8" hidden="1" x14ac:dyDescent="0.2">
      <c r="A130" s="7">
        <v>554969</v>
      </c>
      <c r="B130" s="7" t="s">
        <v>59</v>
      </c>
      <c r="C130" s="7" t="s">
        <v>20</v>
      </c>
      <c r="D130" s="8">
        <v>24.32</v>
      </c>
      <c r="E130" s="8"/>
      <c r="F130" s="9"/>
      <c r="G130" s="10"/>
      <c r="H130" s="7"/>
    </row>
    <row r="131" spans="1:8" hidden="1" x14ac:dyDescent="0.2">
      <c r="A131" s="7">
        <v>554174</v>
      </c>
      <c r="B131" s="7" t="s">
        <v>60</v>
      </c>
      <c r="C131" s="7" t="s">
        <v>20</v>
      </c>
      <c r="D131" s="8">
        <v>42.65</v>
      </c>
      <c r="E131" s="8"/>
      <c r="F131" s="9"/>
      <c r="G131" s="10"/>
      <c r="H131" s="7"/>
    </row>
    <row r="132" spans="1:8" hidden="1" x14ac:dyDescent="0.2">
      <c r="A132" s="7">
        <v>554792</v>
      </c>
      <c r="B132" s="7" t="s">
        <v>61</v>
      </c>
      <c r="C132" s="7" t="s">
        <v>20</v>
      </c>
      <c r="D132" s="8">
        <v>30.16</v>
      </c>
      <c r="E132" s="8"/>
      <c r="F132" s="9"/>
      <c r="G132" s="10"/>
      <c r="H132" s="7"/>
    </row>
    <row r="133" spans="1:8" hidden="1" x14ac:dyDescent="0.2">
      <c r="A133" s="7">
        <v>554976</v>
      </c>
      <c r="B133" s="7" t="s">
        <v>62</v>
      </c>
      <c r="C133" s="7" t="s">
        <v>20</v>
      </c>
      <c r="D133" s="8" t="s">
        <v>38</v>
      </c>
      <c r="E133" s="8"/>
      <c r="F133" s="9"/>
      <c r="G133" s="10"/>
      <c r="H133" s="7"/>
    </row>
    <row r="134" spans="1:8" hidden="1" x14ac:dyDescent="0.2">
      <c r="A134" s="7">
        <v>5992889</v>
      </c>
      <c r="B134" s="7" t="s">
        <v>63</v>
      </c>
      <c r="C134" s="7" t="s">
        <v>20</v>
      </c>
      <c r="D134" s="8" t="s">
        <v>38</v>
      </c>
      <c r="E134" s="8"/>
      <c r="F134" s="9"/>
      <c r="G134" s="10"/>
      <c r="H134" s="7"/>
    </row>
    <row r="135" spans="1:8" hidden="1" x14ac:dyDescent="0.2"/>
    <row r="136" spans="1:8" ht="18" hidden="1" x14ac:dyDescent="0.25">
      <c r="A136" s="11" t="s">
        <v>64</v>
      </c>
    </row>
    <row r="137" spans="1:8" hidden="1" x14ac:dyDescent="0.2">
      <c r="A137" s="1"/>
    </row>
    <row r="138" spans="1:8" s="16" customFormat="1" ht="15" hidden="1" x14ac:dyDescent="0.25">
      <c r="A138" s="12" t="s">
        <v>0</v>
      </c>
      <c r="B138" s="12" t="s">
        <v>1</v>
      </c>
      <c r="C138" s="12" t="s">
        <v>19</v>
      </c>
      <c r="D138" s="13" t="s">
        <v>424</v>
      </c>
      <c r="E138" s="13"/>
      <c r="F138" s="14" t="s">
        <v>113</v>
      </c>
      <c r="G138" s="15" t="s">
        <v>429</v>
      </c>
      <c r="H138" s="12" t="s">
        <v>426</v>
      </c>
    </row>
    <row r="139" spans="1:8" hidden="1" x14ac:dyDescent="0.2">
      <c r="A139" s="7"/>
      <c r="B139" s="7" t="s">
        <v>112</v>
      </c>
      <c r="C139" s="7"/>
      <c r="D139" s="8">
        <v>15.9</v>
      </c>
      <c r="E139" s="8"/>
      <c r="F139" s="9"/>
      <c r="G139" s="10"/>
      <c r="H139" s="7"/>
    </row>
    <row r="140" spans="1:8" hidden="1" x14ac:dyDescent="0.2">
      <c r="A140" s="7"/>
      <c r="B140" s="7" t="s">
        <v>92</v>
      </c>
      <c r="C140" s="7"/>
      <c r="D140" s="8">
        <v>19.5</v>
      </c>
      <c r="E140" s="8"/>
      <c r="F140" s="9"/>
      <c r="G140" s="10"/>
      <c r="H140" s="7"/>
    </row>
    <row r="141" spans="1:8" hidden="1" x14ac:dyDescent="0.2">
      <c r="A141" s="7"/>
      <c r="B141" s="7" t="s">
        <v>70</v>
      </c>
      <c r="C141" s="7"/>
      <c r="D141" s="8">
        <v>15.9</v>
      </c>
      <c r="E141" s="8"/>
      <c r="F141" s="9"/>
      <c r="G141" s="10"/>
      <c r="H141" s="7"/>
    </row>
    <row r="142" spans="1:8" hidden="1" x14ac:dyDescent="0.2">
      <c r="A142" s="7"/>
      <c r="B142" s="7" t="s">
        <v>110</v>
      </c>
      <c r="C142" s="7"/>
      <c r="D142" s="8">
        <v>15.9</v>
      </c>
      <c r="E142" s="8"/>
      <c r="F142" s="9"/>
      <c r="G142" s="10"/>
      <c r="H142" s="7"/>
    </row>
    <row r="143" spans="1:8" hidden="1" x14ac:dyDescent="0.2">
      <c r="A143" s="7"/>
      <c r="B143" s="7" t="s">
        <v>103</v>
      </c>
      <c r="C143" s="7"/>
      <c r="D143" s="8">
        <v>15.9</v>
      </c>
      <c r="E143" s="8"/>
      <c r="F143" s="9"/>
      <c r="G143" s="10"/>
      <c r="H143" s="7"/>
    </row>
    <row r="144" spans="1:8" hidden="1" x14ac:dyDescent="0.2">
      <c r="A144" s="7"/>
      <c r="B144" s="7" t="s">
        <v>90</v>
      </c>
      <c r="C144" s="7"/>
      <c r="D144" s="37">
        <v>19.5</v>
      </c>
      <c r="E144" s="37"/>
      <c r="F144" s="9"/>
      <c r="G144" s="10"/>
      <c r="H144" s="7" t="s">
        <v>483</v>
      </c>
    </row>
    <row r="145" spans="1:8" hidden="1" x14ac:dyDescent="0.2">
      <c r="A145" s="7"/>
      <c r="B145" s="7" t="s">
        <v>97</v>
      </c>
      <c r="C145" s="7"/>
      <c r="D145" s="8" t="s">
        <v>38</v>
      </c>
      <c r="E145" s="8"/>
      <c r="F145" s="9"/>
      <c r="G145" s="10"/>
      <c r="H145" s="7"/>
    </row>
    <row r="146" spans="1:8" hidden="1" x14ac:dyDescent="0.2">
      <c r="A146" s="7"/>
      <c r="B146" s="7" t="s">
        <v>98</v>
      </c>
      <c r="C146" s="7"/>
      <c r="D146" s="8">
        <v>11.9</v>
      </c>
      <c r="E146" s="8"/>
      <c r="F146" s="9"/>
      <c r="G146" s="10"/>
      <c r="H146" s="7"/>
    </row>
    <row r="147" spans="1:8" hidden="1" x14ac:dyDescent="0.2">
      <c r="A147" s="7"/>
      <c r="B147" s="7" t="s">
        <v>96</v>
      </c>
      <c r="C147" s="7"/>
      <c r="D147" s="37">
        <v>8.9</v>
      </c>
      <c r="E147" s="37"/>
      <c r="F147" s="9"/>
      <c r="G147" s="10"/>
      <c r="H147" s="7"/>
    </row>
    <row r="148" spans="1:8" hidden="1" x14ac:dyDescent="0.2">
      <c r="A148" s="7"/>
      <c r="B148" s="7" t="s">
        <v>107</v>
      </c>
      <c r="C148" s="7"/>
      <c r="D148" s="8">
        <v>13.9</v>
      </c>
      <c r="E148" s="8"/>
      <c r="F148" s="9"/>
      <c r="G148" s="10"/>
      <c r="H148" s="7"/>
    </row>
    <row r="149" spans="1:8" hidden="1" x14ac:dyDescent="0.2">
      <c r="A149" s="7"/>
      <c r="B149" s="7" t="s">
        <v>106</v>
      </c>
      <c r="C149" s="7"/>
      <c r="D149" s="8">
        <v>13.9</v>
      </c>
      <c r="E149" s="8"/>
      <c r="F149" s="9"/>
      <c r="G149" s="10"/>
      <c r="H149" s="7"/>
    </row>
    <row r="150" spans="1:8" hidden="1" x14ac:dyDescent="0.2">
      <c r="A150" s="7"/>
      <c r="B150" s="7" t="s">
        <v>81</v>
      </c>
      <c r="C150" s="7"/>
      <c r="D150" s="8">
        <v>16.899999999999999</v>
      </c>
      <c r="E150" s="8"/>
      <c r="F150" s="9"/>
      <c r="G150" s="10"/>
      <c r="H150" s="7"/>
    </row>
    <row r="151" spans="1:8" hidden="1" x14ac:dyDescent="0.2">
      <c r="A151" s="7"/>
      <c r="B151" s="7" t="s">
        <v>572</v>
      </c>
      <c r="C151" s="7"/>
      <c r="D151" s="8">
        <v>15.9</v>
      </c>
      <c r="E151" s="8"/>
      <c r="F151" s="9"/>
      <c r="G151" s="10"/>
      <c r="H151" s="7"/>
    </row>
    <row r="152" spans="1:8" hidden="1" x14ac:dyDescent="0.2">
      <c r="A152" s="7"/>
      <c r="B152" s="7" t="s">
        <v>571</v>
      </c>
      <c r="C152" s="7"/>
      <c r="D152" s="8">
        <v>15.9</v>
      </c>
      <c r="E152" s="8"/>
      <c r="F152" s="9"/>
      <c r="G152" s="10"/>
      <c r="H152" s="7"/>
    </row>
    <row r="153" spans="1:8" hidden="1" x14ac:dyDescent="0.2">
      <c r="A153" s="7"/>
      <c r="B153" s="7" t="s">
        <v>67</v>
      </c>
      <c r="C153" s="7"/>
      <c r="D153" s="8">
        <v>16.899999999999999</v>
      </c>
      <c r="E153" s="8"/>
      <c r="F153" s="9"/>
      <c r="G153" s="10"/>
      <c r="H153" s="7"/>
    </row>
    <row r="154" spans="1:8" hidden="1" x14ac:dyDescent="0.2">
      <c r="A154" s="7"/>
      <c r="B154" s="7" t="s">
        <v>68</v>
      </c>
      <c r="C154" s="7"/>
      <c r="D154" s="37">
        <v>7.4</v>
      </c>
      <c r="E154" s="37"/>
      <c r="F154" s="9"/>
      <c r="G154" s="10"/>
      <c r="H154" s="7"/>
    </row>
    <row r="155" spans="1:8" hidden="1" x14ac:dyDescent="0.2">
      <c r="A155" s="7"/>
      <c r="B155" s="7" t="s">
        <v>89</v>
      </c>
      <c r="C155" s="7"/>
      <c r="D155" s="8">
        <v>6.4</v>
      </c>
      <c r="E155" s="8"/>
      <c r="F155" s="9"/>
      <c r="G155" s="10"/>
      <c r="H155" s="7"/>
    </row>
    <row r="156" spans="1:8" hidden="1" x14ac:dyDescent="0.2">
      <c r="A156" s="7"/>
      <c r="B156" s="7" t="s">
        <v>94</v>
      </c>
      <c r="C156" s="7"/>
      <c r="D156" s="8">
        <v>13.9</v>
      </c>
      <c r="E156" s="8"/>
      <c r="F156" s="9"/>
      <c r="G156" s="10"/>
      <c r="H156" s="7" t="s">
        <v>435</v>
      </c>
    </row>
    <row r="157" spans="1:8" hidden="1" x14ac:dyDescent="0.2">
      <c r="A157" s="7"/>
      <c r="B157" s="7" t="s">
        <v>482</v>
      </c>
      <c r="C157" s="7"/>
      <c r="D157" s="37">
        <v>19.5</v>
      </c>
      <c r="E157" s="37"/>
      <c r="F157" s="9"/>
      <c r="G157" s="10"/>
      <c r="H157" s="7"/>
    </row>
    <row r="158" spans="1:8" hidden="1" x14ac:dyDescent="0.2">
      <c r="A158" s="7"/>
      <c r="B158" s="7" t="s">
        <v>111</v>
      </c>
      <c r="C158" s="7"/>
      <c r="D158" s="8">
        <v>14.9</v>
      </c>
      <c r="E158" s="8"/>
      <c r="F158" s="9"/>
      <c r="G158" s="10"/>
      <c r="H158" s="7"/>
    </row>
    <row r="159" spans="1:8" hidden="1" x14ac:dyDescent="0.2">
      <c r="A159" s="7"/>
      <c r="B159" s="7" t="s">
        <v>95</v>
      </c>
      <c r="C159" s="7"/>
      <c r="D159" s="8">
        <v>15.9</v>
      </c>
      <c r="E159" s="8"/>
      <c r="F159" s="9"/>
      <c r="G159" s="10"/>
      <c r="H159" s="7"/>
    </row>
    <row r="160" spans="1:8" hidden="1" x14ac:dyDescent="0.2">
      <c r="A160" s="7"/>
      <c r="B160" s="7" t="s">
        <v>570</v>
      </c>
      <c r="C160" s="7"/>
      <c r="D160" s="8">
        <v>14.9</v>
      </c>
      <c r="E160" s="8"/>
      <c r="F160" s="9"/>
      <c r="G160" s="10"/>
      <c r="H160" s="7"/>
    </row>
    <row r="161" spans="1:8" hidden="1" x14ac:dyDescent="0.2">
      <c r="A161" s="7"/>
      <c r="B161" s="7" t="s">
        <v>69</v>
      </c>
      <c r="C161" s="7"/>
      <c r="D161" s="8">
        <v>12.9</v>
      </c>
      <c r="E161" s="8"/>
      <c r="F161" s="9"/>
      <c r="G161" s="10"/>
      <c r="H161" s="7"/>
    </row>
    <row r="162" spans="1:8" hidden="1" x14ac:dyDescent="0.2">
      <c r="A162" s="7"/>
      <c r="B162" s="7" t="s">
        <v>104</v>
      </c>
      <c r="C162" s="7"/>
      <c r="D162" s="8">
        <v>14.9</v>
      </c>
      <c r="E162" s="8"/>
      <c r="F162" s="9"/>
      <c r="G162" s="10"/>
      <c r="H162" s="7"/>
    </row>
    <row r="163" spans="1:8" hidden="1" x14ac:dyDescent="0.2">
      <c r="A163" s="7"/>
      <c r="B163" s="7" t="s">
        <v>108</v>
      </c>
      <c r="C163" s="7"/>
      <c r="D163" s="8">
        <v>15.9</v>
      </c>
      <c r="E163" s="8"/>
      <c r="F163" s="9"/>
      <c r="G163" s="10"/>
      <c r="H163" s="7"/>
    </row>
    <row r="164" spans="1:8" hidden="1" x14ac:dyDescent="0.2">
      <c r="A164" s="7"/>
      <c r="B164" s="7" t="s">
        <v>82</v>
      </c>
      <c r="C164" s="7"/>
      <c r="D164" s="8">
        <v>15.9</v>
      </c>
      <c r="E164" s="8"/>
      <c r="F164" s="9"/>
      <c r="G164" s="10"/>
      <c r="H164" s="7"/>
    </row>
    <row r="165" spans="1:8" hidden="1" x14ac:dyDescent="0.2">
      <c r="A165" s="7"/>
      <c r="B165" s="7" t="s">
        <v>93</v>
      </c>
      <c r="C165" s="7"/>
      <c r="D165" s="8">
        <v>17.899999999999999</v>
      </c>
      <c r="E165" s="8"/>
      <c r="F165" s="9"/>
      <c r="G165" s="10"/>
      <c r="H165" s="7"/>
    </row>
    <row r="166" spans="1:8" hidden="1" x14ac:dyDescent="0.2">
      <c r="A166" s="7"/>
      <c r="B166" s="7" t="s">
        <v>105</v>
      </c>
      <c r="C166" s="7"/>
      <c r="D166" s="8">
        <v>13.9</v>
      </c>
      <c r="E166" s="8"/>
      <c r="F166" s="9"/>
      <c r="G166" s="10"/>
      <c r="H166" s="7"/>
    </row>
    <row r="167" spans="1:8" hidden="1" x14ac:dyDescent="0.2">
      <c r="A167" s="7"/>
      <c r="B167" s="7" t="s">
        <v>65</v>
      </c>
      <c r="C167" s="7"/>
      <c r="D167" s="8">
        <v>14.9</v>
      </c>
      <c r="E167" s="8"/>
      <c r="F167" s="9"/>
      <c r="G167" s="10"/>
      <c r="H167" s="7"/>
    </row>
    <row r="168" spans="1:8" hidden="1" x14ac:dyDescent="0.2">
      <c r="A168" s="7"/>
      <c r="B168" s="7" t="s">
        <v>71</v>
      </c>
      <c r="C168" s="7"/>
      <c r="D168" s="8">
        <v>21.9</v>
      </c>
      <c r="E168" s="8"/>
      <c r="F168" s="9"/>
      <c r="G168" s="10"/>
      <c r="H168" s="7"/>
    </row>
    <row r="169" spans="1:8" hidden="1" x14ac:dyDescent="0.2">
      <c r="A169" s="7"/>
      <c r="B169" s="7" t="s">
        <v>72</v>
      </c>
      <c r="C169" s="7"/>
      <c r="D169" s="8">
        <v>21.9</v>
      </c>
      <c r="E169" s="8"/>
      <c r="F169" s="9"/>
      <c r="G169" s="10"/>
      <c r="H169" s="7"/>
    </row>
    <row r="170" spans="1:8" hidden="1" x14ac:dyDescent="0.2">
      <c r="A170" s="7"/>
      <c r="B170" s="7" t="s">
        <v>99</v>
      </c>
      <c r="C170" s="7"/>
      <c r="D170" s="8">
        <v>25.9</v>
      </c>
      <c r="E170" s="8"/>
      <c r="F170" s="9"/>
      <c r="G170" s="10"/>
      <c r="H170" s="7"/>
    </row>
    <row r="171" spans="1:8" hidden="1" x14ac:dyDescent="0.2">
      <c r="A171" s="7"/>
      <c r="B171" s="7" t="s">
        <v>100</v>
      </c>
      <c r="C171" s="7"/>
      <c r="D171" s="8">
        <v>25.9</v>
      </c>
      <c r="E171" s="8"/>
      <c r="F171" s="9"/>
      <c r="G171" s="10"/>
      <c r="H171" s="7"/>
    </row>
    <row r="172" spans="1:8" hidden="1" x14ac:dyDescent="0.2">
      <c r="A172" s="7"/>
      <c r="B172" s="7" t="s">
        <v>101</v>
      </c>
      <c r="C172" s="7"/>
      <c r="D172" s="8">
        <v>25.9</v>
      </c>
      <c r="E172" s="8"/>
      <c r="F172" s="9"/>
      <c r="G172" s="10"/>
      <c r="H172" s="7"/>
    </row>
    <row r="173" spans="1:8" hidden="1" x14ac:dyDescent="0.2">
      <c r="A173" s="7"/>
      <c r="B173" s="7" t="s">
        <v>66</v>
      </c>
      <c r="C173" s="7"/>
      <c r="D173" s="8">
        <v>14.9</v>
      </c>
      <c r="E173" s="8"/>
      <c r="F173" s="9"/>
      <c r="G173" s="10"/>
      <c r="H173" s="7"/>
    </row>
    <row r="174" spans="1:8" hidden="1" x14ac:dyDescent="0.2">
      <c r="A174" s="7"/>
      <c r="B174" s="7" t="s">
        <v>102</v>
      </c>
      <c r="C174" s="7"/>
      <c r="D174" s="8">
        <v>15.9</v>
      </c>
      <c r="E174" s="8"/>
      <c r="F174" s="9"/>
      <c r="G174" s="10"/>
      <c r="H174" s="7" t="s">
        <v>435</v>
      </c>
    </row>
    <row r="175" spans="1:8" hidden="1" x14ac:dyDescent="0.2">
      <c r="A175" s="7"/>
      <c r="B175" s="7" t="s">
        <v>109</v>
      </c>
      <c r="C175" s="7"/>
      <c r="D175" s="8">
        <v>15.9</v>
      </c>
      <c r="E175" s="8"/>
      <c r="F175" s="9"/>
      <c r="G175" s="10"/>
      <c r="H175" s="7"/>
    </row>
    <row r="176" spans="1:8" hidden="1" x14ac:dyDescent="0.2">
      <c r="A176" s="7"/>
      <c r="B176" s="7" t="s">
        <v>91</v>
      </c>
      <c r="C176" s="7"/>
      <c r="D176" s="8">
        <v>15.9</v>
      </c>
      <c r="E176" s="8"/>
      <c r="F176" s="9"/>
      <c r="G176" s="10"/>
      <c r="H176" s="7"/>
    </row>
    <row r="177" spans="1:8" hidden="1" x14ac:dyDescent="0.2">
      <c r="A177" s="7"/>
      <c r="B177" s="7" t="s">
        <v>434</v>
      </c>
      <c r="C177" s="7"/>
      <c r="D177" s="37">
        <v>13.9</v>
      </c>
      <c r="E177" s="37"/>
      <c r="F177" s="9"/>
      <c r="G177" s="10"/>
      <c r="H177" s="7" t="s">
        <v>435</v>
      </c>
    </row>
    <row r="178" spans="1:8" hidden="1" x14ac:dyDescent="0.2"/>
    <row r="180" spans="1:8" ht="18" hidden="1" x14ac:dyDescent="0.25">
      <c r="A180" s="11" t="s">
        <v>73</v>
      </c>
    </row>
    <row r="181" spans="1:8" hidden="1" x14ac:dyDescent="0.2">
      <c r="A181" s="1"/>
    </row>
    <row r="182" spans="1:8" hidden="1" x14ac:dyDescent="0.2">
      <c r="A182" s="18" t="s">
        <v>0</v>
      </c>
      <c r="B182" s="7" t="s">
        <v>1</v>
      </c>
      <c r="C182" s="7" t="s">
        <v>19</v>
      </c>
      <c r="D182" s="8" t="s">
        <v>424</v>
      </c>
      <c r="E182" s="8"/>
      <c r="F182" s="9" t="s">
        <v>113</v>
      </c>
      <c r="G182" s="10" t="s">
        <v>425</v>
      </c>
      <c r="H182" s="7" t="s">
        <v>426</v>
      </c>
    </row>
    <row r="183" spans="1:8" hidden="1" x14ac:dyDescent="0.2">
      <c r="A183" s="7">
        <v>8201001</v>
      </c>
      <c r="B183" s="7" t="s">
        <v>74</v>
      </c>
      <c r="C183" s="7" t="s">
        <v>20</v>
      </c>
      <c r="D183" s="8">
        <v>6.7</v>
      </c>
      <c r="E183" s="8"/>
      <c r="F183" s="9"/>
      <c r="G183" s="10"/>
      <c r="H183" s="7"/>
    </row>
    <row r="184" spans="1:8" hidden="1" x14ac:dyDescent="0.2">
      <c r="A184" s="7">
        <v>2618263</v>
      </c>
      <c r="B184" s="7" t="s">
        <v>75</v>
      </c>
      <c r="C184" s="7" t="s">
        <v>20</v>
      </c>
      <c r="D184" s="8">
        <v>12.8</v>
      </c>
      <c r="E184" s="8"/>
      <c r="F184" s="9"/>
      <c r="G184" s="10"/>
      <c r="H184" s="7"/>
    </row>
    <row r="185" spans="1:8" hidden="1" x14ac:dyDescent="0.2">
      <c r="A185" s="7">
        <v>1922767</v>
      </c>
      <c r="B185" s="7" t="s">
        <v>76</v>
      </c>
      <c r="C185" s="7" t="s">
        <v>20</v>
      </c>
      <c r="D185" s="8">
        <v>12.8</v>
      </c>
      <c r="E185" s="8"/>
      <c r="F185" s="9"/>
      <c r="G185" s="10"/>
      <c r="H185" s="7"/>
    </row>
    <row r="186" spans="1:8" hidden="1" x14ac:dyDescent="0.2">
      <c r="A186" s="7">
        <v>6619044</v>
      </c>
      <c r="B186" s="7" t="s">
        <v>78</v>
      </c>
      <c r="C186" s="7" t="s">
        <v>20</v>
      </c>
      <c r="D186" s="8">
        <v>12.1</v>
      </c>
      <c r="E186" s="8"/>
      <c r="F186" s="9"/>
      <c r="G186" s="10"/>
      <c r="H186" s="7"/>
    </row>
    <row r="187" spans="1:8" hidden="1" x14ac:dyDescent="0.2">
      <c r="A187" s="7">
        <v>6619068</v>
      </c>
      <c r="B187" s="7" t="s">
        <v>79</v>
      </c>
      <c r="C187" s="7" t="s">
        <v>20</v>
      </c>
      <c r="D187" s="8">
        <v>8.5</v>
      </c>
      <c r="E187" s="8"/>
      <c r="F187" s="9"/>
      <c r="G187" s="10"/>
      <c r="H187" s="7"/>
    </row>
    <row r="188" spans="1:8" hidden="1" x14ac:dyDescent="0.2">
      <c r="A188" s="7">
        <v>28200225</v>
      </c>
      <c r="B188" s="7" t="s">
        <v>80</v>
      </c>
      <c r="C188" s="7" t="s">
        <v>19</v>
      </c>
      <c r="D188" s="8">
        <v>53.3</v>
      </c>
      <c r="E188" s="8"/>
      <c r="F188" s="9"/>
      <c r="G188" s="10"/>
      <c r="H188" s="7"/>
    </row>
    <row r="189" spans="1:8" hidden="1" x14ac:dyDescent="0.2">
      <c r="A189" s="7">
        <v>502804</v>
      </c>
      <c r="B189" s="7" t="s">
        <v>83</v>
      </c>
      <c r="C189" s="7" t="s">
        <v>20</v>
      </c>
      <c r="D189" s="8">
        <v>12.4</v>
      </c>
      <c r="E189" s="8"/>
      <c r="F189" s="9"/>
      <c r="G189" s="10"/>
      <c r="H189" s="7"/>
    </row>
    <row r="190" spans="1:8" hidden="1" x14ac:dyDescent="0.2">
      <c r="A190" s="7">
        <v>502806</v>
      </c>
      <c r="B190" s="7" t="s">
        <v>436</v>
      </c>
      <c r="C190" s="7" t="s">
        <v>20</v>
      </c>
      <c r="D190" s="8">
        <v>12.4</v>
      </c>
      <c r="E190" s="8"/>
      <c r="F190" s="9"/>
      <c r="G190" s="10"/>
      <c r="H190" s="7"/>
    </row>
    <row r="191" spans="1:8" hidden="1" x14ac:dyDescent="0.2">
      <c r="A191" s="7">
        <v>100855</v>
      </c>
      <c r="B191" s="7" t="s">
        <v>84</v>
      </c>
      <c r="C191" s="7" t="s">
        <v>20</v>
      </c>
      <c r="D191" s="8">
        <v>8</v>
      </c>
      <c r="E191" s="8"/>
      <c r="F191" s="9"/>
      <c r="G191" s="10"/>
      <c r="H191" s="7"/>
    </row>
    <row r="192" spans="1:8" hidden="1" x14ac:dyDescent="0.2">
      <c r="A192" s="7">
        <v>6619037</v>
      </c>
      <c r="B192" s="7" t="s">
        <v>85</v>
      </c>
      <c r="C192" s="7" t="s">
        <v>20</v>
      </c>
      <c r="D192" s="8">
        <v>12.3</v>
      </c>
      <c r="E192" s="8"/>
      <c r="F192" s="9"/>
      <c r="G192" s="10"/>
      <c r="H192" s="7"/>
    </row>
    <row r="193" spans="1:8" hidden="1" x14ac:dyDescent="0.2">
      <c r="A193" s="7">
        <v>226231</v>
      </c>
      <c r="B193" s="7" t="s">
        <v>86</v>
      </c>
      <c r="C193" s="7" t="s">
        <v>19</v>
      </c>
      <c r="D193" s="8">
        <v>10.6</v>
      </c>
      <c r="E193" s="8"/>
      <c r="F193" s="9"/>
      <c r="G193" s="10"/>
      <c r="H193" s="7"/>
    </row>
    <row r="194" spans="1:8" hidden="1" x14ac:dyDescent="0.2">
      <c r="A194" s="7" t="s">
        <v>38</v>
      </c>
      <c r="B194" s="7" t="s">
        <v>87</v>
      </c>
      <c r="C194" s="7" t="s">
        <v>20</v>
      </c>
      <c r="D194" s="8">
        <v>12.9</v>
      </c>
      <c r="E194" s="8"/>
      <c r="F194" s="9"/>
      <c r="G194" s="10"/>
      <c r="H194" s="7"/>
    </row>
    <row r="195" spans="1:8" hidden="1" x14ac:dyDescent="0.2">
      <c r="A195" s="7">
        <v>41080</v>
      </c>
      <c r="B195" s="7" t="s">
        <v>88</v>
      </c>
      <c r="C195" s="7" t="s">
        <v>20</v>
      </c>
      <c r="D195" s="8">
        <v>10.95</v>
      </c>
      <c r="E195" s="8"/>
      <c r="F195" s="9"/>
      <c r="G195" s="10"/>
      <c r="H195" s="7"/>
    </row>
    <row r="197" spans="1:8" ht="18" x14ac:dyDescent="0.25">
      <c r="A197" s="65" t="s">
        <v>77</v>
      </c>
      <c r="B197" s="66"/>
      <c r="C197" s="66"/>
      <c r="D197" s="67"/>
      <c r="E197" s="67"/>
      <c r="F197" s="68"/>
      <c r="G197" s="69"/>
      <c r="H197" s="66"/>
    </row>
    <row r="198" spans="1:8" x14ac:dyDescent="0.2">
      <c r="A198" s="86"/>
      <c r="B198" s="66"/>
      <c r="C198" s="66"/>
      <c r="D198" s="67"/>
      <c r="E198" s="67"/>
      <c r="F198" s="68"/>
      <c r="G198" s="69"/>
      <c r="H198" s="66"/>
    </row>
    <row r="199" spans="1:8" s="16" customFormat="1" ht="15" x14ac:dyDescent="0.25">
      <c r="A199" s="70" t="s">
        <v>0</v>
      </c>
      <c r="B199" s="70" t="s">
        <v>1</v>
      </c>
      <c r="C199" s="70" t="s">
        <v>19</v>
      </c>
      <c r="D199" s="71" t="s">
        <v>424</v>
      </c>
      <c r="E199" s="71"/>
      <c r="F199" s="87" t="s">
        <v>113</v>
      </c>
      <c r="G199" s="73" t="s">
        <v>425</v>
      </c>
      <c r="H199" s="70" t="s">
        <v>426</v>
      </c>
    </row>
    <row r="200" spans="1:8" x14ac:dyDescent="0.2">
      <c r="A200" s="74">
        <v>8208500</v>
      </c>
      <c r="B200" s="84" t="s">
        <v>116</v>
      </c>
      <c r="C200" s="74" t="s">
        <v>114</v>
      </c>
      <c r="D200" s="76">
        <v>24.17</v>
      </c>
      <c r="E200" s="76"/>
      <c r="F200" s="88">
        <v>0.14799999999999999</v>
      </c>
      <c r="G200" s="89">
        <f>D200*(1-F200)</f>
        <v>20.592840000000002</v>
      </c>
      <c r="H200" s="74"/>
    </row>
    <row r="201" spans="1:8" x14ac:dyDescent="0.2">
      <c r="A201" s="74">
        <v>8209500</v>
      </c>
      <c r="B201" s="84" t="s">
        <v>117</v>
      </c>
      <c r="C201" s="74" t="s">
        <v>114</v>
      </c>
      <c r="D201" s="76">
        <v>22.46</v>
      </c>
      <c r="E201" s="76"/>
      <c r="F201" s="88">
        <v>0.2</v>
      </c>
      <c r="G201" s="89">
        <f t="shared" ref="G201:G209" si="0">D201*(1-F201)</f>
        <v>17.968</v>
      </c>
      <c r="H201" s="74"/>
    </row>
    <row r="202" spans="1:8" x14ac:dyDescent="0.2">
      <c r="A202" s="74">
        <v>8975100</v>
      </c>
      <c r="B202" s="90" t="s">
        <v>1009</v>
      </c>
      <c r="C202" s="74" t="s">
        <v>114</v>
      </c>
      <c r="D202" s="76">
        <v>16.59</v>
      </c>
      <c r="E202" s="76"/>
      <c r="F202" s="88">
        <v>0.46939999999999998</v>
      </c>
      <c r="G202" s="89">
        <f t="shared" si="0"/>
        <v>8.8026539999999986</v>
      </c>
      <c r="H202" s="74"/>
    </row>
    <row r="203" spans="1:8" x14ac:dyDescent="0.2">
      <c r="A203" s="74">
        <v>8203100</v>
      </c>
      <c r="B203" s="84" t="s">
        <v>118</v>
      </c>
      <c r="C203" s="74" t="s">
        <v>114</v>
      </c>
      <c r="D203" s="76">
        <v>43.2</v>
      </c>
      <c r="E203" s="76"/>
      <c r="F203" s="88">
        <v>0.2</v>
      </c>
      <c r="G203" s="89">
        <f t="shared" si="0"/>
        <v>34.56</v>
      </c>
      <c r="H203" s="74"/>
    </row>
    <row r="204" spans="1:8" x14ac:dyDescent="0.2">
      <c r="A204" s="74">
        <v>8203400</v>
      </c>
      <c r="B204" s="84" t="s">
        <v>119</v>
      </c>
      <c r="C204" s="74" t="s">
        <v>114</v>
      </c>
      <c r="D204" s="76">
        <v>43.2</v>
      </c>
      <c r="E204" s="76"/>
      <c r="F204" s="88">
        <v>0.2</v>
      </c>
      <c r="G204" s="89">
        <f t="shared" si="0"/>
        <v>34.56</v>
      </c>
      <c r="H204" s="74"/>
    </row>
    <row r="205" spans="1:8" x14ac:dyDescent="0.2">
      <c r="A205" s="74">
        <v>8205100</v>
      </c>
      <c r="B205" s="74" t="s">
        <v>841</v>
      </c>
      <c r="C205" s="74" t="s">
        <v>114</v>
      </c>
      <c r="D205" s="76">
        <v>57.27</v>
      </c>
      <c r="E205" s="76"/>
      <c r="F205" s="88">
        <v>0.15</v>
      </c>
      <c r="G205" s="89">
        <f t="shared" si="0"/>
        <v>48.679500000000004</v>
      </c>
      <c r="H205" s="74"/>
    </row>
    <row r="206" spans="1:8" x14ac:dyDescent="0.2">
      <c r="A206" s="74">
        <v>9225400</v>
      </c>
      <c r="B206" s="74" t="s">
        <v>115</v>
      </c>
      <c r="C206" s="74" t="s">
        <v>114</v>
      </c>
      <c r="D206" s="76">
        <v>71.14</v>
      </c>
      <c r="E206" s="76"/>
      <c r="F206" s="88">
        <v>0</v>
      </c>
      <c r="G206" s="89">
        <f t="shared" si="0"/>
        <v>71.14</v>
      </c>
      <c r="H206" s="74"/>
    </row>
    <row r="207" spans="1:8" x14ac:dyDescent="0.2">
      <c r="A207" s="74"/>
      <c r="B207" s="74" t="s">
        <v>995</v>
      </c>
      <c r="C207" s="74" t="s">
        <v>114</v>
      </c>
      <c r="D207" s="76">
        <v>10.88</v>
      </c>
      <c r="E207" s="76"/>
      <c r="F207" s="88">
        <v>8.4500000000000006E-2</v>
      </c>
      <c r="G207" s="89">
        <f t="shared" si="0"/>
        <v>9.9606399999999997</v>
      </c>
      <c r="H207" s="74"/>
    </row>
    <row r="208" spans="1:8" x14ac:dyDescent="0.2">
      <c r="A208" s="74">
        <v>8251100</v>
      </c>
      <c r="B208" s="74" t="s">
        <v>120</v>
      </c>
      <c r="C208" s="74" t="s">
        <v>114</v>
      </c>
      <c r="D208" s="76">
        <v>42</v>
      </c>
      <c r="E208" s="76"/>
      <c r="F208" s="88">
        <v>0.24</v>
      </c>
      <c r="G208" s="89">
        <f t="shared" si="0"/>
        <v>31.92</v>
      </c>
      <c r="H208" s="74"/>
    </row>
    <row r="209" spans="1:8" x14ac:dyDescent="0.2">
      <c r="A209" s="74">
        <v>8578500</v>
      </c>
      <c r="B209" s="83" t="s">
        <v>121</v>
      </c>
      <c r="C209" s="74" t="s">
        <v>114</v>
      </c>
      <c r="D209" s="76">
        <v>40.32</v>
      </c>
      <c r="E209" s="76"/>
      <c r="F209" s="88">
        <v>0.3</v>
      </c>
      <c r="G209" s="89">
        <f t="shared" si="0"/>
        <v>28.223999999999997</v>
      </c>
      <c r="H209" s="74"/>
    </row>
    <row r="210" spans="1:8" hidden="1" x14ac:dyDescent="0.2"/>
    <row r="211" spans="1:8" ht="18" hidden="1" x14ac:dyDescent="0.25">
      <c r="A211" s="11" t="s">
        <v>122</v>
      </c>
    </row>
    <row r="212" spans="1:8" hidden="1" x14ac:dyDescent="0.2">
      <c r="A212" s="7">
        <v>70007</v>
      </c>
      <c r="B212" s="7" t="s">
        <v>124</v>
      </c>
      <c r="C212" s="7" t="s">
        <v>123</v>
      </c>
      <c r="D212" s="8">
        <v>15.3</v>
      </c>
      <c r="E212" s="8"/>
      <c r="F212" s="9"/>
      <c r="G212" s="10"/>
      <c r="H212" s="7">
        <v>14.3</v>
      </c>
    </row>
    <row r="213" spans="1:8" hidden="1" x14ac:dyDescent="0.2">
      <c r="A213" s="7"/>
      <c r="B213" s="7" t="s">
        <v>624</v>
      </c>
      <c r="C213" s="7"/>
      <c r="D213" s="8">
        <v>10.34</v>
      </c>
      <c r="E213" s="8"/>
      <c r="F213" s="9"/>
      <c r="G213" s="10"/>
      <c r="H213" s="7"/>
    </row>
    <row r="214" spans="1:8" hidden="1" x14ac:dyDescent="0.2">
      <c r="A214" s="7"/>
      <c r="B214" s="7" t="s">
        <v>531</v>
      </c>
      <c r="C214" s="7"/>
      <c r="D214" s="8">
        <v>12.7</v>
      </c>
      <c r="E214" s="8"/>
      <c r="F214" s="9"/>
      <c r="G214" s="10"/>
      <c r="H214" s="7"/>
    </row>
    <row r="215" spans="1:8" ht="18" hidden="1" x14ac:dyDescent="0.25">
      <c r="A215" s="11" t="s">
        <v>125</v>
      </c>
    </row>
    <row r="216" spans="1:8" ht="18" hidden="1" x14ac:dyDescent="0.25">
      <c r="A216" s="11"/>
    </row>
    <row r="217" spans="1:8" s="16" customFormat="1" ht="15" hidden="1" x14ac:dyDescent="0.25">
      <c r="A217" s="12" t="s">
        <v>0</v>
      </c>
      <c r="B217" s="12" t="s">
        <v>1</v>
      </c>
      <c r="C217" s="12" t="s">
        <v>19</v>
      </c>
      <c r="D217" s="13" t="s">
        <v>424</v>
      </c>
      <c r="E217" s="13"/>
      <c r="F217" s="14" t="s">
        <v>113</v>
      </c>
      <c r="G217" s="15" t="s">
        <v>425</v>
      </c>
      <c r="H217" s="12" t="s">
        <v>426</v>
      </c>
    </row>
    <row r="218" spans="1:8" hidden="1" x14ac:dyDescent="0.2">
      <c r="A218" s="7">
        <v>6322</v>
      </c>
      <c r="B218" s="7" t="s">
        <v>137</v>
      </c>
      <c r="C218" s="7" t="s">
        <v>20</v>
      </c>
      <c r="D218" s="8">
        <v>8.5</v>
      </c>
      <c r="E218" s="8"/>
      <c r="F218" s="9"/>
      <c r="G218" s="10"/>
      <c r="H218" s="7">
        <v>7</v>
      </c>
    </row>
    <row r="219" spans="1:8" hidden="1" x14ac:dyDescent="0.2">
      <c r="A219" s="7">
        <v>6320</v>
      </c>
      <c r="B219" s="7" t="s">
        <v>156</v>
      </c>
      <c r="C219" s="7" t="s">
        <v>20</v>
      </c>
      <c r="D219" s="8">
        <v>6.5</v>
      </c>
      <c r="E219" s="8"/>
      <c r="F219" s="9"/>
      <c r="G219" s="10"/>
      <c r="H219" s="7"/>
    </row>
    <row r="220" spans="1:8" hidden="1" x14ac:dyDescent="0.2">
      <c r="A220" s="7" t="s">
        <v>160</v>
      </c>
      <c r="B220" s="7" t="s">
        <v>161</v>
      </c>
      <c r="C220" s="7"/>
      <c r="D220" s="8">
        <v>34</v>
      </c>
      <c r="E220" s="8"/>
      <c r="F220" s="9"/>
      <c r="G220" s="10"/>
      <c r="H220" s="7"/>
    </row>
    <row r="221" spans="1:8" hidden="1" x14ac:dyDescent="0.2">
      <c r="A221" s="7">
        <v>4080</v>
      </c>
      <c r="B221" s="7" t="s">
        <v>606</v>
      </c>
      <c r="C221" s="7"/>
      <c r="D221" s="8">
        <v>45</v>
      </c>
      <c r="E221" s="8"/>
      <c r="F221" s="9"/>
      <c r="G221" s="10"/>
      <c r="H221" s="7"/>
    </row>
    <row r="222" spans="1:8" hidden="1" x14ac:dyDescent="0.2">
      <c r="A222" s="7">
        <v>1185</v>
      </c>
      <c r="B222" s="7" t="s">
        <v>139</v>
      </c>
      <c r="C222" s="7" t="s">
        <v>20</v>
      </c>
      <c r="D222" s="8">
        <v>36</v>
      </c>
      <c r="E222" s="8"/>
      <c r="F222" s="9"/>
      <c r="G222" s="10"/>
      <c r="H222" s="7"/>
    </row>
    <row r="223" spans="1:8" hidden="1" x14ac:dyDescent="0.2">
      <c r="A223" s="7"/>
      <c r="B223" s="7" t="s">
        <v>510</v>
      </c>
      <c r="C223" s="7"/>
      <c r="D223" s="8">
        <v>162.5</v>
      </c>
      <c r="E223" s="8"/>
      <c r="F223" s="9"/>
      <c r="G223" s="10"/>
      <c r="H223" s="7"/>
    </row>
    <row r="224" spans="1:8" hidden="1" x14ac:dyDescent="0.2">
      <c r="A224" s="7">
        <v>2005</v>
      </c>
      <c r="B224" s="7" t="s">
        <v>153</v>
      </c>
      <c r="C224" s="7" t="s">
        <v>20</v>
      </c>
      <c r="D224" s="8">
        <v>6.4</v>
      </c>
      <c r="E224" s="8"/>
      <c r="F224" s="9"/>
      <c r="G224" s="10"/>
      <c r="H224" s="7"/>
    </row>
    <row r="225" spans="1:8" hidden="1" x14ac:dyDescent="0.2">
      <c r="A225" s="7"/>
      <c r="B225" s="7" t="s">
        <v>51</v>
      </c>
      <c r="C225" s="7" t="s">
        <v>20</v>
      </c>
      <c r="D225" s="8">
        <v>16</v>
      </c>
      <c r="E225" s="8"/>
      <c r="F225" s="9"/>
      <c r="G225" s="10"/>
      <c r="H225" s="7"/>
    </row>
    <row r="226" spans="1:8" hidden="1" x14ac:dyDescent="0.2">
      <c r="A226" s="7">
        <v>2010</v>
      </c>
      <c r="B226" s="7" t="s">
        <v>140</v>
      </c>
      <c r="C226" s="7" t="s">
        <v>20</v>
      </c>
      <c r="D226" s="8">
        <v>5.6</v>
      </c>
      <c r="E226" s="8"/>
      <c r="F226" s="9"/>
      <c r="G226" s="10"/>
      <c r="H226" s="7"/>
    </row>
    <row r="227" spans="1:8" hidden="1" x14ac:dyDescent="0.2">
      <c r="A227" s="7">
        <v>1845</v>
      </c>
      <c r="B227" s="7" t="s">
        <v>162</v>
      </c>
      <c r="C227" s="7"/>
      <c r="D227" s="8">
        <v>34</v>
      </c>
      <c r="E227" s="8"/>
      <c r="F227" s="9"/>
      <c r="G227" s="10"/>
      <c r="H227" s="7"/>
    </row>
    <row r="228" spans="1:8" hidden="1" x14ac:dyDescent="0.2">
      <c r="A228" s="7">
        <v>1045</v>
      </c>
      <c r="B228" s="7" t="s">
        <v>152</v>
      </c>
      <c r="C228" s="7" t="s">
        <v>20</v>
      </c>
      <c r="D228" s="8">
        <v>28</v>
      </c>
      <c r="E228" s="8"/>
      <c r="F228" s="9"/>
      <c r="G228" s="10"/>
      <c r="H228" s="7"/>
    </row>
    <row r="229" spans="1:8" hidden="1" x14ac:dyDescent="0.2">
      <c r="A229" s="7">
        <v>1030</v>
      </c>
      <c r="B229" s="7" t="s">
        <v>127</v>
      </c>
      <c r="C229" s="7" t="s">
        <v>20</v>
      </c>
      <c r="D229" s="8">
        <v>13.8</v>
      </c>
      <c r="E229" s="8"/>
      <c r="F229" s="9"/>
      <c r="G229" s="10"/>
      <c r="H229" s="7"/>
    </row>
    <row r="230" spans="1:8" hidden="1" x14ac:dyDescent="0.2">
      <c r="A230" s="7">
        <v>1025</v>
      </c>
      <c r="B230" s="7" t="s">
        <v>144</v>
      </c>
      <c r="C230" s="7" t="s">
        <v>20</v>
      </c>
      <c r="D230" s="8">
        <v>36</v>
      </c>
      <c r="E230" s="8"/>
      <c r="F230" s="9"/>
      <c r="G230" s="10"/>
      <c r="H230" s="7"/>
    </row>
    <row r="231" spans="1:8" hidden="1" x14ac:dyDescent="0.2">
      <c r="A231" s="7">
        <v>5382</v>
      </c>
      <c r="B231" s="7" t="s">
        <v>155</v>
      </c>
      <c r="C231" s="7" t="s">
        <v>20</v>
      </c>
      <c r="D231" s="8">
        <v>15</v>
      </c>
      <c r="E231" s="8"/>
      <c r="F231" s="9"/>
      <c r="G231" s="10"/>
      <c r="H231" s="7"/>
    </row>
    <row r="232" spans="1:8" hidden="1" x14ac:dyDescent="0.2">
      <c r="A232" s="7">
        <v>5377</v>
      </c>
      <c r="B232" s="7" t="s">
        <v>154</v>
      </c>
      <c r="C232" s="7" t="s">
        <v>20</v>
      </c>
      <c r="D232" s="8">
        <v>15</v>
      </c>
      <c r="E232" s="8"/>
      <c r="F232" s="9"/>
      <c r="G232" s="10"/>
      <c r="H232" s="7"/>
    </row>
    <row r="233" spans="1:8" hidden="1" x14ac:dyDescent="0.2">
      <c r="A233" s="7">
        <v>6100</v>
      </c>
      <c r="B233" s="7" t="s">
        <v>142</v>
      </c>
      <c r="C233" s="7" t="s">
        <v>20</v>
      </c>
      <c r="D233" s="8">
        <v>13</v>
      </c>
      <c r="E233" s="8"/>
      <c r="F233" s="9"/>
      <c r="G233" s="10"/>
      <c r="H233" s="7"/>
    </row>
    <row r="234" spans="1:8" hidden="1" x14ac:dyDescent="0.2">
      <c r="A234" s="7">
        <v>6150</v>
      </c>
      <c r="B234" s="7" t="s">
        <v>135</v>
      </c>
      <c r="C234" s="7" t="s">
        <v>20</v>
      </c>
      <c r="D234" s="8">
        <v>16</v>
      </c>
      <c r="E234" s="8"/>
      <c r="F234" s="9"/>
      <c r="G234" s="10"/>
      <c r="H234" s="7"/>
    </row>
    <row r="235" spans="1:8" hidden="1" x14ac:dyDescent="0.2">
      <c r="A235" s="7"/>
      <c r="B235" s="7" t="s">
        <v>634</v>
      </c>
      <c r="C235" s="7"/>
      <c r="D235" s="8">
        <v>8.5</v>
      </c>
      <c r="E235" s="8"/>
      <c r="F235" s="9"/>
      <c r="G235" s="10"/>
      <c r="H235" s="7"/>
    </row>
    <row r="236" spans="1:8" hidden="1" x14ac:dyDescent="0.2">
      <c r="A236" s="7">
        <v>6181</v>
      </c>
      <c r="B236" s="7" t="s">
        <v>136</v>
      </c>
      <c r="C236" s="7" t="s">
        <v>20</v>
      </c>
      <c r="D236" s="8">
        <v>10</v>
      </c>
      <c r="E236" s="8"/>
      <c r="F236" s="9"/>
      <c r="G236" s="10"/>
      <c r="H236" s="7"/>
    </row>
    <row r="237" spans="1:8" hidden="1" x14ac:dyDescent="0.2">
      <c r="A237" s="7">
        <v>1165</v>
      </c>
      <c r="B237" s="7" t="s">
        <v>128</v>
      </c>
      <c r="C237" s="7" t="s">
        <v>20</v>
      </c>
      <c r="D237" s="8">
        <v>12</v>
      </c>
      <c r="E237" s="8"/>
      <c r="F237" s="9"/>
      <c r="G237" s="10"/>
      <c r="H237" s="7"/>
    </row>
    <row r="238" spans="1:8" hidden="1" x14ac:dyDescent="0.2">
      <c r="A238" s="7">
        <v>6002</v>
      </c>
      <c r="B238" s="7" t="s">
        <v>141</v>
      </c>
      <c r="C238" s="7" t="s">
        <v>20</v>
      </c>
      <c r="D238" s="8">
        <v>8</v>
      </c>
      <c r="E238" s="8"/>
      <c r="F238" s="9"/>
      <c r="G238" s="10"/>
      <c r="H238" s="7"/>
    </row>
    <row r="239" spans="1:8" hidden="1" x14ac:dyDescent="0.2">
      <c r="A239" s="7">
        <v>1160</v>
      </c>
      <c r="B239" s="7" t="s">
        <v>145</v>
      </c>
      <c r="C239" s="7" t="s">
        <v>20</v>
      </c>
      <c r="D239" s="8">
        <v>5</v>
      </c>
      <c r="E239" s="8"/>
      <c r="F239" s="9"/>
      <c r="G239" s="10"/>
      <c r="H239" s="7"/>
    </row>
    <row r="240" spans="1:8" hidden="1" x14ac:dyDescent="0.2">
      <c r="A240" s="7"/>
      <c r="B240" s="7" t="s">
        <v>568</v>
      </c>
      <c r="C240" s="7" t="s">
        <v>20</v>
      </c>
      <c r="D240" s="8">
        <v>12</v>
      </c>
      <c r="E240" s="8"/>
      <c r="F240" s="9"/>
      <c r="G240" s="10"/>
      <c r="H240" s="7"/>
    </row>
    <row r="241" spans="1:8" hidden="1" x14ac:dyDescent="0.2">
      <c r="A241" s="7">
        <v>1180</v>
      </c>
      <c r="B241" s="7" t="s">
        <v>151</v>
      </c>
      <c r="C241" s="7" t="s">
        <v>20</v>
      </c>
      <c r="D241" s="8">
        <v>28</v>
      </c>
      <c r="E241" s="8"/>
      <c r="F241" s="9"/>
      <c r="G241" s="10"/>
      <c r="H241" s="7"/>
    </row>
    <row r="242" spans="1:8" hidden="1" x14ac:dyDescent="0.2">
      <c r="A242" s="7"/>
      <c r="B242" s="7" t="s">
        <v>567</v>
      </c>
      <c r="C242" s="7" t="s">
        <v>20</v>
      </c>
      <c r="D242" s="8">
        <v>43</v>
      </c>
      <c r="E242" s="8"/>
      <c r="F242" s="9"/>
      <c r="G242" s="10"/>
      <c r="H242" s="7"/>
    </row>
    <row r="243" spans="1:8" hidden="1" x14ac:dyDescent="0.2">
      <c r="A243" s="7">
        <v>1015</v>
      </c>
      <c r="B243" s="7" t="s">
        <v>138</v>
      </c>
      <c r="C243" s="7" t="s">
        <v>20</v>
      </c>
      <c r="D243" s="8">
        <v>36</v>
      </c>
      <c r="E243" s="8"/>
      <c r="F243" s="9"/>
      <c r="G243" s="10"/>
      <c r="H243" s="7"/>
    </row>
    <row r="244" spans="1:8" hidden="1" x14ac:dyDescent="0.2">
      <c r="A244" s="7">
        <v>1010</v>
      </c>
      <c r="B244" s="7" t="s">
        <v>126</v>
      </c>
      <c r="C244" s="7" t="s">
        <v>20</v>
      </c>
      <c r="D244" s="8">
        <v>34</v>
      </c>
      <c r="E244" s="8"/>
      <c r="F244" s="9"/>
      <c r="G244" s="10"/>
      <c r="H244" s="7"/>
    </row>
    <row r="245" spans="1:8" hidden="1" x14ac:dyDescent="0.2">
      <c r="A245" s="7">
        <v>1000</v>
      </c>
      <c r="B245" s="7" t="s">
        <v>131</v>
      </c>
      <c r="C245" s="7" t="s">
        <v>20</v>
      </c>
      <c r="D245" s="8">
        <v>18</v>
      </c>
      <c r="E245" s="8"/>
      <c r="F245" s="9"/>
      <c r="G245" s="10"/>
      <c r="H245" s="7"/>
    </row>
    <row r="246" spans="1:8" hidden="1" x14ac:dyDescent="0.2">
      <c r="A246" s="7" t="s">
        <v>147</v>
      </c>
      <c r="B246" s="7" t="s">
        <v>148</v>
      </c>
      <c r="C246" s="7" t="s">
        <v>20</v>
      </c>
      <c r="D246" s="8">
        <v>15</v>
      </c>
      <c r="E246" s="8"/>
      <c r="F246" s="9"/>
      <c r="G246" s="10"/>
      <c r="H246" s="7"/>
    </row>
    <row r="247" spans="1:8" hidden="1" x14ac:dyDescent="0.2">
      <c r="A247" s="7"/>
      <c r="B247" s="7" t="s">
        <v>530</v>
      </c>
      <c r="C247" s="7" t="s">
        <v>20</v>
      </c>
      <c r="D247" s="8">
        <v>22</v>
      </c>
      <c r="E247" s="8"/>
      <c r="F247" s="9"/>
      <c r="G247" s="10"/>
      <c r="H247" s="7"/>
    </row>
    <row r="248" spans="1:8" hidden="1" x14ac:dyDescent="0.2">
      <c r="A248" s="7">
        <v>2055</v>
      </c>
      <c r="B248" s="7" t="s">
        <v>446</v>
      </c>
      <c r="C248" s="7" t="s">
        <v>20</v>
      </c>
      <c r="D248" s="8">
        <v>7</v>
      </c>
      <c r="E248" s="8"/>
      <c r="F248" s="9"/>
      <c r="G248" s="10"/>
      <c r="H248" s="7"/>
    </row>
    <row r="249" spans="1:8" hidden="1" x14ac:dyDescent="0.2">
      <c r="A249" s="7">
        <v>3058</v>
      </c>
      <c r="B249" s="7" t="s">
        <v>467</v>
      </c>
      <c r="C249" s="7" t="s">
        <v>20</v>
      </c>
      <c r="D249" s="8">
        <v>13</v>
      </c>
      <c r="E249" s="8"/>
      <c r="F249" s="9"/>
      <c r="G249" s="10"/>
      <c r="H249" s="7"/>
    </row>
    <row r="250" spans="1:8" hidden="1" x14ac:dyDescent="0.2">
      <c r="A250" s="7"/>
      <c r="B250" s="7" t="s">
        <v>666</v>
      </c>
      <c r="C250" s="7"/>
      <c r="D250" s="8">
        <v>20</v>
      </c>
      <c r="E250" s="8"/>
      <c r="F250" s="9"/>
      <c r="G250" s="10"/>
      <c r="H250" s="7"/>
    </row>
    <row r="251" spans="1:8" hidden="1" x14ac:dyDescent="0.2">
      <c r="A251" s="7">
        <v>1040</v>
      </c>
      <c r="B251" s="7" t="s">
        <v>149</v>
      </c>
      <c r="C251" s="7" t="s">
        <v>20</v>
      </c>
      <c r="D251" s="8">
        <v>16</v>
      </c>
      <c r="E251" s="8"/>
      <c r="F251" s="9"/>
      <c r="G251" s="10"/>
      <c r="H251" s="7"/>
    </row>
    <row r="252" spans="1:8" hidden="1" x14ac:dyDescent="0.2">
      <c r="A252" s="7">
        <v>6345</v>
      </c>
      <c r="B252" s="7" t="s">
        <v>130</v>
      </c>
      <c r="C252" s="7" t="s">
        <v>20</v>
      </c>
      <c r="D252" s="8">
        <v>30</v>
      </c>
      <c r="E252" s="8"/>
      <c r="F252" s="9"/>
      <c r="G252" s="10"/>
      <c r="H252" s="7"/>
    </row>
    <row r="253" spans="1:8" hidden="1" x14ac:dyDescent="0.2">
      <c r="A253" s="7">
        <v>1125</v>
      </c>
      <c r="B253" s="7" t="s">
        <v>150</v>
      </c>
      <c r="C253" s="7" t="s">
        <v>20</v>
      </c>
      <c r="D253" s="8">
        <v>30</v>
      </c>
      <c r="E253" s="8"/>
      <c r="F253" s="9"/>
      <c r="G253" s="10"/>
      <c r="H253" s="7"/>
    </row>
    <row r="254" spans="1:8" hidden="1" x14ac:dyDescent="0.2">
      <c r="A254" s="7">
        <v>1124</v>
      </c>
      <c r="B254" s="7" t="s">
        <v>132</v>
      </c>
      <c r="C254" s="7" t="s">
        <v>20</v>
      </c>
      <c r="D254" s="8">
        <v>22</v>
      </c>
      <c r="E254" s="8"/>
      <c r="F254" s="9"/>
      <c r="G254" s="10"/>
      <c r="H254" s="7"/>
    </row>
    <row r="255" spans="1:8" hidden="1" x14ac:dyDescent="0.2">
      <c r="A255" s="7">
        <v>2095</v>
      </c>
      <c r="B255" s="7" t="s">
        <v>157</v>
      </c>
      <c r="C255" s="7" t="s">
        <v>20</v>
      </c>
      <c r="D255" s="37">
        <v>16</v>
      </c>
      <c r="E255" s="37"/>
      <c r="F255" s="9"/>
      <c r="G255" s="10"/>
      <c r="H255" s="7">
        <v>11</v>
      </c>
    </row>
    <row r="256" spans="1:8" hidden="1" x14ac:dyDescent="0.2">
      <c r="A256" s="7">
        <v>5315</v>
      </c>
      <c r="B256" s="7" t="s">
        <v>134</v>
      </c>
      <c r="C256" s="7" t="s">
        <v>20</v>
      </c>
      <c r="D256" s="8">
        <v>14</v>
      </c>
      <c r="E256" s="8"/>
      <c r="F256" s="9"/>
      <c r="G256" s="10"/>
      <c r="H256" s="7"/>
    </row>
    <row r="257" spans="1:8" hidden="1" x14ac:dyDescent="0.2">
      <c r="A257" s="7" t="s">
        <v>158</v>
      </c>
      <c r="B257" s="7" t="s">
        <v>159</v>
      </c>
      <c r="C257" s="7"/>
      <c r="D257" s="8">
        <v>28</v>
      </c>
      <c r="E257" s="8"/>
      <c r="F257" s="9"/>
      <c r="G257" s="10"/>
      <c r="H257" s="7"/>
    </row>
    <row r="258" spans="1:8" hidden="1" x14ac:dyDescent="0.2">
      <c r="A258" s="7">
        <v>4160</v>
      </c>
      <c r="B258" s="7" t="s">
        <v>129</v>
      </c>
      <c r="C258" s="7" t="s">
        <v>20</v>
      </c>
      <c r="D258" s="8">
        <v>55</v>
      </c>
      <c r="E258" s="8"/>
      <c r="F258" s="9"/>
      <c r="G258" s="10"/>
      <c r="H258" s="7"/>
    </row>
    <row r="259" spans="1:8" hidden="1" x14ac:dyDescent="0.2">
      <c r="A259" s="7">
        <v>2045</v>
      </c>
      <c r="B259" s="7" t="s">
        <v>133</v>
      </c>
      <c r="C259" s="7" t="s">
        <v>20</v>
      </c>
      <c r="D259" s="8">
        <v>6.8</v>
      </c>
      <c r="E259" s="8"/>
      <c r="F259" s="9"/>
      <c r="G259" s="10"/>
      <c r="H259" s="7"/>
    </row>
    <row r="260" spans="1:8" hidden="1" x14ac:dyDescent="0.2">
      <c r="A260" s="7">
        <v>2040</v>
      </c>
      <c r="B260" s="7" t="s">
        <v>501</v>
      </c>
      <c r="C260" s="7" t="s">
        <v>20</v>
      </c>
      <c r="D260" s="8">
        <v>7.8</v>
      </c>
      <c r="E260" s="8"/>
      <c r="F260" s="9"/>
      <c r="G260" s="10"/>
      <c r="H260" s="7"/>
    </row>
    <row r="261" spans="1:8" hidden="1" x14ac:dyDescent="0.2">
      <c r="A261" s="7">
        <v>1079</v>
      </c>
      <c r="B261" s="7" t="s">
        <v>163</v>
      </c>
      <c r="C261" s="7"/>
      <c r="D261" s="8">
        <v>16</v>
      </c>
      <c r="E261" s="8"/>
      <c r="F261" s="9"/>
      <c r="G261" s="10"/>
      <c r="H261" s="7"/>
    </row>
    <row r="262" spans="1:8" hidden="1" x14ac:dyDescent="0.2">
      <c r="A262" s="7">
        <v>2080</v>
      </c>
      <c r="B262" s="7" t="s">
        <v>143</v>
      </c>
      <c r="C262" s="7" t="s">
        <v>20</v>
      </c>
      <c r="D262" s="8">
        <v>6.6</v>
      </c>
      <c r="E262" s="8"/>
      <c r="F262" s="9"/>
      <c r="G262" s="10"/>
      <c r="H262" s="7"/>
    </row>
    <row r="263" spans="1:8" hidden="1" x14ac:dyDescent="0.2">
      <c r="A263" s="7">
        <v>5600</v>
      </c>
      <c r="B263" s="7" t="s">
        <v>146</v>
      </c>
      <c r="C263" s="7" t="s">
        <v>20</v>
      </c>
      <c r="D263" s="8">
        <v>16</v>
      </c>
      <c r="E263" s="8"/>
      <c r="F263" s="9"/>
      <c r="G263" s="10"/>
      <c r="H263" s="7">
        <v>14</v>
      </c>
    </row>
    <row r="264" spans="1:8" hidden="1" x14ac:dyDescent="0.2"/>
    <row r="265" spans="1:8" ht="18" x14ac:dyDescent="0.25">
      <c r="A265" s="11" t="s">
        <v>164</v>
      </c>
      <c r="B265" s="17"/>
    </row>
    <row r="266" spans="1:8" ht="18" x14ac:dyDescent="0.25">
      <c r="A266" s="11"/>
      <c r="B266" s="17"/>
    </row>
    <row r="267" spans="1:8" s="16" customFormat="1" ht="15" x14ac:dyDescent="0.25">
      <c r="A267" s="12" t="s">
        <v>0</v>
      </c>
      <c r="B267" s="12" t="s">
        <v>1</v>
      </c>
      <c r="C267" s="12" t="s">
        <v>19</v>
      </c>
      <c r="D267" s="13" t="s">
        <v>424</v>
      </c>
      <c r="E267" s="13"/>
      <c r="F267" s="14" t="s">
        <v>113</v>
      </c>
      <c r="G267" s="15" t="s">
        <v>425</v>
      </c>
      <c r="H267" s="12" t="s">
        <v>426</v>
      </c>
    </row>
    <row r="268" spans="1:8" x14ac:dyDescent="0.2">
      <c r="A268" s="7"/>
      <c r="B268" s="7" t="s">
        <v>165</v>
      </c>
      <c r="C268" s="7"/>
      <c r="D268" s="8">
        <f>132/4</f>
        <v>33</v>
      </c>
      <c r="E268" s="8"/>
      <c r="F268" s="9"/>
      <c r="G268" s="10" t="s">
        <v>167</v>
      </c>
      <c r="H268" s="7"/>
    </row>
    <row r="269" spans="1:8" x14ac:dyDescent="0.2">
      <c r="A269" s="7"/>
      <c r="B269" s="19" t="s">
        <v>166</v>
      </c>
      <c r="C269" s="7"/>
      <c r="D269" s="8">
        <f>756/12</f>
        <v>63</v>
      </c>
      <c r="E269" s="8"/>
      <c r="F269" s="9"/>
      <c r="G269" s="10" t="s">
        <v>167</v>
      </c>
      <c r="H269" s="7"/>
    </row>
    <row r="270" spans="1:8" x14ac:dyDescent="0.2">
      <c r="A270" s="7"/>
      <c r="B270" s="19" t="s">
        <v>168</v>
      </c>
      <c r="C270" s="7"/>
      <c r="D270" s="8">
        <v>72.5</v>
      </c>
      <c r="E270" s="8"/>
      <c r="F270" s="9"/>
      <c r="G270" s="10" t="s">
        <v>167</v>
      </c>
      <c r="H270" s="7"/>
    </row>
    <row r="271" spans="1:8" x14ac:dyDescent="0.2">
      <c r="A271" s="7"/>
      <c r="B271" s="19" t="s">
        <v>851</v>
      </c>
      <c r="C271" s="7"/>
      <c r="D271" s="8">
        <v>40</v>
      </c>
      <c r="E271" s="8"/>
      <c r="F271" s="9"/>
      <c r="G271" s="10"/>
      <c r="H271" s="7"/>
    </row>
    <row r="272" spans="1:8" x14ac:dyDescent="0.2">
      <c r="A272" s="7"/>
      <c r="B272" s="20" t="s">
        <v>169</v>
      </c>
      <c r="C272" s="7"/>
      <c r="D272" s="8">
        <v>50</v>
      </c>
      <c r="E272" s="8"/>
      <c r="F272" s="9"/>
      <c r="G272" s="10" t="s">
        <v>167</v>
      </c>
      <c r="H272" s="7"/>
    </row>
    <row r="274" spans="1:8" ht="18" hidden="1" x14ac:dyDescent="0.25">
      <c r="A274" s="11" t="s">
        <v>170</v>
      </c>
    </row>
    <row r="275" spans="1:8" ht="18" hidden="1" x14ac:dyDescent="0.25">
      <c r="A275" s="11"/>
    </row>
    <row r="276" spans="1:8" s="16" customFormat="1" ht="15" hidden="1" x14ac:dyDescent="0.25">
      <c r="A276" s="12" t="s">
        <v>0</v>
      </c>
      <c r="B276" s="12" t="s">
        <v>1</v>
      </c>
      <c r="C276" s="12" t="s">
        <v>19</v>
      </c>
      <c r="D276" s="13" t="s">
        <v>424</v>
      </c>
      <c r="E276" s="13"/>
      <c r="F276" s="14" t="s">
        <v>113</v>
      </c>
      <c r="G276" s="15" t="s">
        <v>425</v>
      </c>
      <c r="H276" s="12" t="s">
        <v>426</v>
      </c>
    </row>
    <row r="277" spans="1:8" hidden="1" x14ac:dyDescent="0.2">
      <c r="A277" s="7">
        <v>100060</v>
      </c>
      <c r="B277" s="7" t="s">
        <v>255</v>
      </c>
      <c r="C277" s="7"/>
      <c r="D277" s="8">
        <v>7.8</v>
      </c>
      <c r="E277" s="8"/>
      <c r="F277" s="9"/>
      <c r="G277" s="10"/>
      <c r="H277" s="7"/>
    </row>
    <row r="278" spans="1:8" hidden="1" x14ac:dyDescent="0.2">
      <c r="A278" s="7">
        <v>100115</v>
      </c>
      <c r="B278" s="7" t="s">
        <v>226</v>
      </c>
      <c r="C278" s="7"/>
      <c r="D278" s="8">
        <v>22</v>
      </c>
      <c r="E278" s="8"/>
      <c r="F278" s="9"/>
      <c r="G278" s="10"/>
      <c r="H278" s="7"/>
    </row>
    <row r="279" spans="1:8" hidden="1" x14ac:dyDescent="0.2">
      <c r="A279" s="7">
        <v>100010</v>
      </c>
      <c r="B279" s="7" t="s">
        <v>253</v>
      </c>
      <c r="C279" s="7"/>
      <c r="D279" s="8">
        <v>6.1</v>
      </c>
      <c r="E279" s="8"/>
      <c r="F279" s="9"/>
      <c r="G279" s="10"/>
      <c r="H279" s="7"/>
    </row>
    <row r="280" spans="1:8" hidden="1" x14ac:dyDescent="0.2">
      <c r="A280" s="7">
        <v>100070</v>
      </c>
      <c r="B280" s="7" t="s">
        <v>213</v>
      </c>
      <c r="C280" s="7"/>
      <c r="D280" s="8">
        <v>21</v>
      </c>
      <c r="E280" s="8"/>
      <c r="F280" s="9"/>
      <c r="G280" s="10"/>
      <c r="H280" s="7"/>
    </row>
    <row r="281" spans="1:8" hidden="1" x14ac:dyDescent="0.2">
      <c r="A281" s="7">
        <v>100080</v>
      </c>
      <c r="B281" s="7" t="s">
        <v>216</v>
      </c>
      <c r="C281" s="7"/>
      <c r="D281" s="8">
        <v>21</v>
      </c>
      <c r="E281" s="8"/>
      <c r="F281" s="9"/>
      <c r="G281" s="10"/>
      <c r="H281" s="7"/>
    </row>
    <row r="282" spans="1:8" hidden="1" x14ac:dyDescent="0.2">
      <c r="A282" s="7">
        <v>100036</v>
      </c>
      <c r="B282" s="7" t="s">
        <v>194</v>
      </c>
      <c r="C282" s="7"/>
      <c r="D282" s="8">
        <v>8.5</v>
      </c>
      <c r="E282" s="8"/>
      <c r="F282" s="9"/>
      <c r="G282" s="10"/>
      <c r="H282" s="7"/>
    </row>
    <row r="283" spans="1:8" hidden="1" x14ac:dyDescent="0.2">
      <c r="A283" s="7">
        <v>100035</v>
      </c>
      <c r="B283" s="7" t="s">
        <v>210</v>
      </c>
      <c r="C283" s="7"/>
      <c r="D283" s="38">
        <v>9.5</v>
      </c>
      <c r="E283" s="38"/>
      <c r="F283" s="9"/>
      <c r="G283" s="10"/>
      <c r="H283" s="7"/>
    </row>
    <row r="284" spans="1:8" hidden="1" x14ac:dyDescent="0.2">
      <c r="A284" s="7">
        <v>1800111</v>
      </c>
      <c r="B284" s="7" t="s">
        <v>240</v>
      </c>
      <c r="C284" s="7"/>
      <c r="D284" s="8">
        <v>24</v>
      </c>
      <c r="E284" s="8"/>
      <c r="F284" s="9"/>
      <c r="G284" s="10"/>
      <c r="H284" s="7"/>
    </row>
    <row r="285" spans="1:8" hidden="1" x14ac:dyDescent="0.2">
      <c r="A285" s="7">
        <v>1500065</v>
      </c>
      <c r="B285" s="7" t="s">
        <v>173</v>
      </c>
      <c r="C285" s="7"/>
      <c r="D285" s="38">
        <v>4.3</v>
      </c>
      <c r="E285" s="38"/>
      <c r="F285" s="9"/>
      <c r="G285" s="10"/>
      <c r="H285" s="7"/>
    </row>
    <row r="286" spans="1:8" hidden="1" x14ac:dyDescent="0.2">
      <c r="A286" s="7">
        <v>200110</v>
      </c>
      <c r="B286" s="7" t="s">
        <v>268</v>
      </c>
      <c r="C286" s="7"/>
      <c r="D286" s="8">
        <v>74.400000000000006</v>
      </c>
      <c r="E286" s="8"/>
      <c r="F286" s="9"/>
      <c r="G286" s="10"/>
      <c r="H286" s="7"/>
    </row>
    <row r="287" spans="1:8" hidden="1" x14ac:dyDescent="0.2">
      <c r="A287" s="7">
        <v>800030</v>
      </c>
      <c r="B287" s="7" t="s">
        <v>201</v>
      </c>
      <c r="C287" s="7"/>
      <c r="D287" s="8">
        <v>16.399999999999999</v>
      </c>
      <c r="E287" s="8"/>
      <c r="F287" s="9"/>
      <c r="G287" s="10"/>
      <c r="H287" s="7">
        <v>15</v>
      </c>
    </row>
    <row r="288" spans="1:8" hidden="1" x14ac:dyDescent="0.2">
      <c r="A288" s="7">
        <v>1600061</v>
      </c>
      <c r="B288" s="7" t="s">
        <v>228</v>
      </c>
      <c r="C288" s="7"/>
      <c r="D288" s="8">
        <v>13.9</v>
      </c>
      <c r="E288" s="8"/>
      <c r="F288" s="9"/>
      <c r="G288" s="36"/>
      <c r="H288" s="7"/>
    </row>
    <row r="289" spans="1:8" hidden="1" x14ac:dyDescent="0.2">
      <c r="A289" s="7">
        <v>800071</v>
      </c>
      <c r="B289" s="7" t="s">
        <v>202</v>
      </c>
      <c r="C289" s="7"/>
      <c r="D289" s="8">
        <v>21</v>
      </c>
      <c r="E289" s="8"/>
      <c r="F289" s="9"/>
      <c r="G289" s="10"/>
      <c r="H289" s="7"/>
    </row>
    <row r="290" spans="1:8" hidden="1" x14ac:dyDescent="0.2">
      <c r="A290" s="7">
        <v>1800149</v>
      </c>
      <c r="B290" s="7" t="s">
        <v>237</v>
      </c>
      <c r="C290" s="7"/>
      <c r="D290" s="8">
        <v>22</v>
      </c>
      <c r="E290" s="8"/>
      <c r="F290" s="9"/>
      <c r="G290" s="10"/>
      <c r="H290" s="7"/>
    </row>
    <row r="291" spans="1:8" hidden="1" x14ac:dyDescent="0.2">
      <c r="A291" s="7">
        <v>1000190</v>
      </c>
      <c r="B291" s="7" t="s">
        <v>176</v>
      </c>
      <c r="C291" s="7"/>
      <c r="D291" s="8">
        <v>16</v>
      </c>
      <c r="E291" s="8"/>
      <c r="F291" s="9"/>
      <c r="G291" s="10"/>
      <c r="H291" s="7"/>
    </row>
    <row r="292" spans="1:8" hidden="1" x14ac:dyDescent="0.2">
      <c r="A292" s="7">
        <v>1600131</v>
      </c>
      <c r="B292" s="7" t="s">
        <v>227</v>
      </c>
      <c r="C292" s="7"/>
      <c r="D292" s="8">
        <v>13.8</v>
      </c>
      <c r="E292" s="8"/>
      <c r="F292" s="9"/>
      <c r="G292" s="10"/>
      <c r="H292" s="7"/>
    </row>
    <row r="293" spans="1:8" hidden="1" x14ac:dyDescent="0.2">
      <c r="A293" s="7">
        <v>1500320</v>
      </c>
      <c r="B293" s="7" t="s">
        <v>250</v>
      </c>
      <c r="C293" s="7"/>
      <c r="D293" s="8">
        <v>3.95</v>
      </c>
      <c r="E293" s="8"/>
      <c r="F293" s="9"/>
      <c r="G293" s="10"/>
      <c r="H293" s="7"/>
    </row>
    <row r="294" spans="1:8" hidden="1" x14ac:dyDescent="0.2">
      <c r="A294" s="7">
        <v>900430</v>
      </c>
      <c r="B294" s="7" t="s">
        <v>207</v>
      </c>
      <c r="C294" s="7"/>
      <c r="D294" s="8">
        <v>52</v>
      </c>
      <c r="E294" s="8"/>
      <c r="F294" s="9"/>
      <c r="G294" s="10"/>
      <c r="H294" s="7">
        <v>46</v>
      </c>
    </row>
    <row r="295" spans="1:8" hidden="1" x14ac:dyDescent="0.2">
      <c r="A295" s="7">
        <v>400280</v>
      </c>
      <c r="B295" s="7" t="s">
        <v>232</v>
      </c>
      <c r="C295" s="7"/>
      <c r="D295" s="8">
        <v>22.5</v>
      </c>
      <c r="E295" s="8"/>
      <c r="F295" s="9"/>
      <c r="G295" s="10"/>
      <c r="H295" s="7"/>
    </row>
    <row r="296" spans="1:8" hidden="1" x14ac:dyDescent="0.2">
      <c r="A296" s="7">
        <v>400250</v>
      </c>
      <c r="B296" s="7" t="s">
        <v>234</v>
      </c>
      <c r="C296" s="7"/>
      <c r="D296" s="8">
        <v>5.0999999999999996</v>
      </c>
      <c r="E296" s="8"/>
      <c r="F296" s="9"/>
      <c r="G296" s="10"/>
      <c r="H296" s="7"/>
    </row>
    <row r="297" spans="1:8" hidden="1" x14ac:dyDescent="0.2">
      <c r="A297" s="7">
        <v>1900245</v>
      </c>
      <c r="B297" s="7" t="s">
        <v>229</v>
      </c>
      <c r="C297" s="7"/>
      <c r="D297" s="8">
        <v>69</v>
      </c>
      <c r="E297" s="8"/>
      <c r="F297" s="9"/>
      <c r="G297" s="10"/>
      <c r="H297" s="7"/>
    </row>
    <row r="298" spans="1:8" hidden="1" x14ac:dyDescent="0.2">
      <c r="A298" s="7">
        <v>400330</v>
      </c>
      <c r="B298" s="7" t="s">
        <v>233</v>
      </c>
      <c r="C298" s="7"/>
      <c r="D298" s="8">
        <v>5.4</v>
      </c>
      <c r="E298" s="8"/>
      <c r="F298" s="9"/>
      <c r="G298" s="10"/>
      <c r="H298" s="7"/>
    </row>
    <row r="299" spans="1:8" hidden="1" x14ac:dyDescent="0.2">
      <c r="A299" s="7">
        <v>400052</v>
      </c>
      <c r="B299" s="7" t="s">
        <v>192</v>
      </c>
      <c r="C299" s="7"/>
      <c r="D299" s="8">
        <v>56</v>
      </c>
      <c r="E299" s="8"/>
      <c r="F299" s="9"/>
      <c r="G299" s="10"/>
      <c r="H299" s="7"/>
    </row>
    <row r="300" spans="1:8" hidden="1" x14ac:dyDescent="0.2">
      <c r="A300" s="7">
        <v>1600270</v>
      </c>
      <c r="B300" s="7" t="s">
        <v>235</v>
      </c>
      <c r="C300" s="7"/>
      <c r="D300" s="8">
        <v>4.0999999999999996</v>
      </c>
      <c r="E300" s="8"/>
      <c r="F300" s="9"/>
      <c r="G300" s="10"/>
      <c r="H300" s="7"/>
    </row>
    <row r="301" spans="1:8" hidden="1" x14ac:dyDescent="0.2">
      <c r="A301" s="7" t="s">
        <v>38</v>
      </c>
      <c r="B301" s="7" t="s">
        <v>219</v>
      </c>
      <c r="C301" s="7"/>
      <c r="D301" s="8">
        <v>11</v>
      </c>
      <c r="E301" s="8"/>
      <c r="F301" s="9"/>
      <c r="G301" s="10"/>
      <c r="H301" s="7"/>
    </row>
    <row r="302" spans="1:8" hidden="1" x14ac:dyDescent="0.2">
      <c r="A302" s="7">
        <v>1200015</v>
      </c>
      <c r="B302" s="7" t="s">
        <v>238</v>
      </c>
      <c r="C302" s="7"/>
      <c r="D302" s="8">
        <v>19.5</v>
      </c>
      <c r="E302" s="8"/>
      <c r="F302" s="9"/>
      <c r="G302" s="10"/>
      <c r="H302" s="7"/>
    </row>
    <row r="303" spans="1:8" hidden="1" x14ac:dyDescent="0.2">
      <c r="A303" s="7">
        <v>900890</v>
      </c>
      <c r="B303" s="7" t="s">
        <v>190</v>
      </c>
      <c r="C303" s="7"/>
      <c r="D303" s="8">
        <v>159</v>
      </c>
      <c r="E303" s="8"/>
      <c r="F303" s="9"/>
      <c r="G303" s="10"/>
      <c r="H303" s="7"/>
    </row>
    <row r="304" spans="1:8" hidden="1" x14ac:dyDescent="0.2">
      <c r="A304" s="7">
        <v>900802</v>
      </c>
      <c r="B304" s="7" t="s">
        <v>224</v>
      </c>
      <c r="C304" s="7"/>
      <c r="D304" s="8">
        <v>71</v>
      </c>
      <c r="E304" s="8"/>
      <c r="F304" s="9"/>
      <c r="G304" s="10"/>
      <c r="H304" s="7"/>
    </row>
    <row r="305" spans="1:8" hidden="1" x14ac:dyDescent="0.2">
      <c r="A305" s="7">
        <v>300253</v>
      </c>
      <c r="B305" s="7" t="s">
        <v>174</v>
      </c>
      <c r="C305" s="7"/>
      <c r="D305" s="37">
        <v>24</v>
      </c>
      <c r="E305" s="37"/>
      <c r="F305" s="9"/>
      <c r="G305" s="10"/>
      <c r="H305" s="7"/>
    </row>
    <row r="306" spans="1:8" hidden="1" x14ac:dyDescent="0.2">
      <c r="A306" s="7">
        <v>900950</v>
      </c>
      <c r="B306" s="7" t="s">
        <v>208</v>
      </c>
      <c r="C306" s="7"/>
      <c r="D306" s="8">
        <v>64</v>
      </c>
      <c r="E306" s="8"/>
      <c r="F306" s="9"/>
      <c r="G306" s="10"/>
      <c r="H306" s="7"/>
    </row>
    <row r="307" spans="1:8" hidden="1" x14ac:dyDescent="0.2">
      <c r="A307" s="7">
        <v>1800273</v>
      </c>
      <c r="B307" s="7" t="s">
        <v>267</v>
      </c>
      <c r="C307" s="7"/>
      <c r="D307" s="8">
        <v>15.8</v>
      </c>
      <c r="E307" s="8"/>
      <c r="F307" s="9"/>
      <c r="G307" s="10"/>
      <c r="H307" s="7"/>
    </row>
    <row r="308" spans="1:8" hidden="1" x14ac:dyDescent="0.2">
      <c r="A308" s="7">
        <v>901380</v>
      </c>
      <c r="B308" s="7" t="s">
        <v>191</v>
      </c>
      <c r="C308" s="7"/>
      <c r="D308" s="37">
        <v>54</v>
      </c>
      <c r="E308" s="37"/>
      <c r="F308" s="9"/>
      <c r="G308" s="10"/>
      <c r="H308" s="7">
        <v>55</v>
      </c>
    </row>
    <row r="309" spans="1:8" hidden="1" x14ac:dyDescent="0.2">
      <c r="A309" s="7">
        <v>1200080</v>
      </c>
      <c r="B309" s="7" t="s">
        <v>187</v>
      </c>
      <c r="C309" s="7"/>
      <c r="D309" s="8">
        <v>9.8000000000000007</v>
      </c>
      <c r="E309" s="8"/>
      <c r="F309" s="9"/>
      <c r="G309" s="10"/>
      <c r="H309" s="7"/>
    </row>
    <row r="310" spans="1:8" hidden="1" x14ac:dyDescent="0.2">
      <c r="A310" s="7">
        <v>100195</v>
      </c>
      <c r="B310" s="7" t="s">
        <v>243</v>
      </c>
      <c r="C310" s="7"/>
      <c r="D310" s="8">
        <v>1.21</v>
      </c>
      <c r="E310" s="8"/>
      <c r="F310" s="9"/>
      <c r="G310" s="10"/>
      <c r="H310" s="7"/>
    </row>
    <row r="311" spans="1:8" hidden="1" x14ac:dyDescent="0.2">
      <c r="A311" s="7">
        <v>100170</v>
      </c>
      <c r="B311" s="7" t="s">
        <v>256</v>
      </c>
      <c r="C311" s="7"/>
      <c r="D311" s="8">
        <v>25</v>
      </c>
      <c r="E311" s="8"/>
      <c r="F311" s="9"/>
      <c r="G311" s="10"/>
      <c r="H311" s="7"/>
    </row>
    <row r="312" spans="1:8" hidden="1" x14ac:dyDescent="0.2">
      <c r="A312" s="7">
        <v>1800295</v>
      </c>
      <c r="B312" s="7" t="s">
        <v>244</v>
      </c>
      <c r="C312" s="7"/>
      <c r="D312" s="8">
        <v>15</v>
      </c>
      <c r="E312" s="8"/>
      <c r="F312" s="9"/>
      <c r="G312" s="10"/>
      <c r="H312" s="7"/>
    </row>
    <row r="313" spans="1:8" hidden="1" x14ac:dyDescent="0.2">
      <c r="A313" s="7">
        <v>100185</v>
      </c>
      <c r="B313" s="7" t="s">
        <v>198</v>
      </c>
      <c r="C313" s="7"/>
      <c r="D313" s="8">
        <v>1.2</v>
      </c>
      <c r="E313" s="8"/>
      <c r="F313" s="9"/>
      <c r="G313" s="10"/>
      <c r="H313" s="7"/>
    </row>
    <row r="314" spans="1:8" hidden="1" x14ac:dyDescent="0.2">
      <c r="A314" s="7">
        <v>400795</v>
      </c>
      <c r="B314" s="7" t="s">
        <v>215</v>
      </c>
      <c r="C314" s="7"/>
      <c r="D314" s="8">
        <v>53</v>
      </c>
      <c r="E314" s="8"/>
      <c r="F314" s="9"/>
      <c r="G314" s="10"/>
      <c r="H314" s="7"/>
    </row>
    <row r="315" spans="1:8" hidden="1" x14ac:dyDescent="0.2">
      <c r="A315" s="7">
        <v>400792</v>
      </c>
      <c r="B315" s="7" t="s">
        <v>217</v>
      </c>
      <c r="C315" s="7"/>
      <c r="D315" s="8">
        <v>53</v>
      </c>
      <c r="E315" s="8"/>
      <c r="F315" s="9"/>
      <c r="G315" s="10"/>
      <c r="H315" s="7"/>
    </row>
    <row r="316" spans="1:8" hidden="1" x14ac:dyDescent="0.2">
      <c r="A316" s="7">
        <v>400697</v>
      </c>
      <c r="B316" s="7" t="s">
        <v>175</v>
      </c>
      <c r="C316" s="7"/>
      <c r="D316" s="8">
        <v>28</v>
      </c>
      <c r="E316" s="8"/>
      <c r="F316" s="9"/>
      <c r="G316" s="10"/>
      <c r="H316" s="7">
        <v>25</v>
      </c>
    </row>
    <row r="317" spans="1:8" hidden="1" x14ac:dyDescent="0.2">
      <c r="A317" s="7">
        <v>1101160</v>
      </c>
      <c r="B317" s="7" t="s">
        <v>222</v>
      </c>
      <c r="C317" s="7"/>
      <c r="D317" s="8">
        <v>12</v>
      </c>
      <c r="E317" s="8"/>
      <c r="F317" s="9"/>
      <c r="G317" s="10"/>
      <c r="H317" s="7"/>
    </row>
    <row r="318" spans="1:8" hidden="1" x14ac:dyDescent="0.2">
      <c r="A318" s="7">
        <v>1101340</v>
      </c>
      <c r="B318" s="7" t="s">
        <v>262</v>
      </c>
      <c r="C318" s="7"/>
      <c r="D318" s="8">
        <v>31</v>
      </c>
      <c r="E318" s="8"/>
      <c r="F318" s="9"/>
      <c r="G318" s="10"/>
      <c r="H318" s="7"/>
    </row>
    <row r="319" spans="1:8" hidden="1" x14ac:dyDescent="0.2">
      <c r="A319" s="7">
        <v>1101419</v>
      </c>
      <c r="B319" s="7" t="s">
        <v>261</v>
      </c>
      <c r="C319" s="7"/>
      <c r="D319" s="8">
        <v>32</v>
      </c>
      <c r="E319" s="8"/>
      <c r="F319" s="9"/>
      <c r="G319" s="10"/>
      <c r="H319" s="7"/>
    </row>
    <row r="320" spans="1:8" hidden="1" x14ac:dyDescent="0.2">
      <c r="A320" s="7">
        <v>1101264</v>
      </c>
      <c r="B320" s="7" t="s">
        <v>196</v>
      </c>
      <c r="C320" s="7"/>
      <c r="D320" s="8">
        <v>12</v>
      </c>
      <c r="E320" s="8"/>
      <c r="F320" s="9"/>
      <c r="G320" s="10"/>
      <c r="H320" s="7"/>
    </row>
    <row r="321" spans="1:8" hidden="1" x14ac:dyDescent="0.2">
      <c r="A321" s="7">
        <v>1101260</v>
      </c>
      <c r="B321" s="7" t="s">
        <v>259</v>
      </c>
      <c r="C321" s="7"/>
      <c r="D321" s="8">
        <v>32</v>
      </c>
      <c r="E321" s="8"/>
      <c r="F321" s="9"/>
      <c r="G321" s="10"/>
      <c r="H321" s="7"/>
    </row>
    <row r="322" spans="1:8" hidden="1" x14ac:dyDescent="0.2">
      <c r="A322" s="7">
        <v>1800319</v>
      </c>
      <c r="B322" s="7" t="s">
        <v>241</v>
      </c>
      <c r="C322" s="7"/>
      <c r="D322" s="8">
        <v>6</v>
      </c>
      <c r="E322" s="8"/>
      <c r="F322" s="9"/>
      <c r="G322" s="10"/>
      <c r="H322" s="7"/>
    </row>
    <row r="323" spans="1:8" hidden="1" x14ac:dyDescent="0.2">
      <c r="A323" s="7">
        <v>100255</v>
      </c>
      <c r="B323" s="7" t="s">
        <v>177</v>
      </c>
      <c r="C323" s="7"/>
      <c r="D323" s="8">
        <v>3.6</v>
      </c>
      <c r="E323" s="8"/>
      <c r="F323" s="9"/>
      <c r="G323" s="10"/>
      <c r="H323" s="7">
        <v>3.5</v>
      </c>
    </row>
    <row r="324" spans="1:8" hidden="1" x14ac:dyDescent="0.2">
      <c r="A324" s="7">
        <v>100255</v>
      </c>
      <c r="B324" s="7" t="s">
        <v>177</v>
      </c>
      <c r="C324" s="7"/>
      <c r="D324" s="8">
        <v>3.2</v>
      </c>
      <c r="E324" s="8"/>
      <c r="F324" s="9"/>
      <c r="G324" s="10"/>
      <c r="H324" s="7">
        <v>3.5</v>
      </c>
    </row>
    <row r="325" spans="1:8" hidden="1" x14ac:dyDescent="0.2">
      <c r="A325" s="7">
        <v>100285</v>
      </c>
      <c r="B325" s="7" t="s">
        <v>182</v>
      </c>
      <c r="C325" s="7"/>
      <c r="D325" s="8">
        <v>9.1999999999999993</v>
      </c>
      <c r="E325" s="8"/>
      <c r="F325" s="9"/>
      <c r="G325" s="10"/>
      <c r="H325" s="7"/>
    </row>
    <row r="326" spans="1:8" hidden="1" x14ac:dyDescent="0.2">
      <c r="A326" s="7">
        <v>100215</v>
      </c>
      <c r="B326" s="7" t="s">
        <v>260</v>
      </c>
      <c r="C326" s="7"/>
      <c r="D326" s="8">
        <v>27.8</v>
      </c>
      <c r="E326" s="8"/>
      <c r="F326" s="9"/>
      <c r="G326" s="10"/>
      <c r="H326" s="7"/>
    </row>
    <row r="327" spans="1:8" hidden="1" x14ac:dyDescent="0.2">
      <c r="A327" s="7">
        <v>100300</v>
      </c>
      <c r="B327" s="7" t="s">
        <v>193</v>
      </c>
      <c r="C327" s="7"/>
      <c r="D327" s="8">
        <v>3.4</v>
      </c>
      <c r="E327" s="8"/>
      <c r="F327" s="9"/>
      <c r="G327" s="10"/>
      <c r="H327" s="7"/>
    </row>
    <row r="328" spans="1:8" hidden="1" x14ac:dyDescent="0.2">
      <c r="A328" s="7">
        <v>1200220</v>
      </c>
      <c r="B328" s="7" t="s">
        <v>178</v>
      </c>
      <c r="C328" s="7"/>
      <c r="D328" s="37">
        <v>50</v>
      </c>
      <c r="E328" s="37"/>
      <c r="F328" s="9"/>
      <c r="G328" s="10"/>
      <c r="H328" s="7">
        <v>52.6</v>
      </c>
    </row>
    <row r="329" spans="1:8" hidden="1" x14ac:dyDescent="0.2">
      <c r="A329" s="7">
        <v>1200212</v>
      </c>
      <c r="B329" s="7" t="s">
        <v>246</v>
      </c>
      <c r="C329" s="7"/>
      <c r="D329" s="8">
        <v>52.5</v>
      </c>
      <c r="E329" s="8"/>
      <c r="F329" s="9"/>
      <c r="G329" s="10"/>
      <c r="H329" s="7"/>
    </row>
    <row r="330" spans="1:8" hidden="1" x14ac:dyDescent="0.2">
      <c r="A330" s="7">
        <v>1600315</v>
      </c>
      <c r="B330" s="7" t="s">
        <v>230</v>
      </c>
      <c r="C330" s="7"/>
      <c r="D330" s="8">
        <v>16.5</v>
      </c>
      <c r="E330" s="8"/>
      <c r="F330" s="9"/>
      <c r="G330" s="10"/>
      <c r="H330" s="7"/>
    </row>
    <row r="331" spans="1:8" hidden="1" x14ac:dyDescent="0.2">
      <c r="A331" s="7">
        <v>1600331</v>
      </c>
      <c r="B331" s="7" t="s">
        <v>184</v>
      </c>
      <c r="C331" s="7"/>
      <c r="D331" s="37">
        <v>14</v>
      </c>
      <c r="E331" s="37"/>
      <c r="F331" s="9"/>
      <c r="G331" s="10"/>
      <c r="H331" s="7">
        <v>15.8</v>
      </c>
    </row>
    <row r="332" spans="1:8" hidden="1" x14ac:dyDescent="0.2">
      <c r="A332" s="7">
        <v>1501705</v>
      </c>
      <c r="B332" s="7" t="s">
        <v>239</v>
      </c>
      <c r="C332" s="7"/>
      <c r="D332" s="8">
        <v>7.15</v>
      </c>
      <c r="E332" s="8"/>
      <c r="F332" s="9"/>
      <c r="G332" s="10"/>
      <c r="H332" s="7"/>
    </row>
    <row r="333" spans="1:8" hidden="1" x14ac:dyDescent="0.2">
      <c r="A333" s="7">
        <v>1600402</v>
      </c>
      <c r="B333" s="7" t="s">
        <v>180</v>
      </c>
      <c r="C333" s="7"/>
      <c r="D333" s="37">
        <v>32</v>
      </c>
      <c r="E333" s="37"/>
      <c r="F333" s="9"/>
      <c r="G333" s="10"/>
      <c r="H333" s="7">
        <v>30</v>
      </c>
    </row>
    <row r="334" spans="1:8" hidden="1" x14ac:dyDescent="0.2">
      <c r="A334" s="7">
        <v>200830</v>
      </c>
      <c r="B334" s="7" t="s">
        <v>270</v>
      </c>
      <c r="C334" s="7"/>
      <c r="D334" s="8">
        <v>60</v>
      </c>
      <c r="E334" s="8"/>
      <c r="F334" s="9"/>
      <c r="G334" s="10"/>
      <c r="H334" s="7"/>
    </row>
    <row r="335" spans="1:8" hidden="1" x14ac:dyDescent="0.2">
      <c r="A335" s="7">
        <v>1800373</v>
      </c>
      <c r="B335" s="7" t="s">
        <v>242</v>
      </c>
      <c r="C335" s="7"/>
      <c r="D335" s="8">
        <v>26</v>
      </c>
      <c r="E335" s="8"/>
      <c r="F335" s="9"/>
      <c r="G335" s="10"/>
      <c r="H335" s="7"/>
    </row>
    <row r="336" spans="1:8" hidden="1" x14ac:dyDescent="0.2">
      <c r="A336" s="7">
        <v>200432</v>
      </c>
      <c r="B336" s="7" t="s">
        <v>220</v>
      </c>
      <c r="C336" s="7"/>
      <c r="D336" s="8">
        <v>87</v>
      </c>
      <c r="E336" s="8"/>
      <c r="F336" s="9"/>
      <c r="G336" s="10"/>
      <c r="H336" s="7"/>
    </row>
    <row r="337" spans="1:8" hidden="1" x14ac:dyDescent="0.2">
      <c r="A337" s="7">
        <v>200410</v>
      </c>
      <c r="B337" s="7" t="s">
        <v>206</v>
      </c>
      <c r="C337" s="7"/>
      <c r="D337" s="8">
        <v>26</v>
      </c>
      <c r="E337" s="8"/>
      <c r="F337" s="9"/>
      <c r="G337" s="10"/>
      <c r="H337" s="7"/>
    </row>
    <row r="338" spans="1:8" hidden="1" x14ac:dyDescent="0.2">
      <c r="A338" s="7">
        <v>200401</v>
      </c>
      <c r="B338" s="7" t="s">
        <v>247</v>
      </c>
      <c r="C338" s="7"/>
      <c r="D338" s="8">
        <v>32</v>
      </c>
      <c r="E338" s="8"/>
      <c r="F338" s="9"/>
      <c r="G338" s="10"/>
      <c r="H338" s="7"/>
    </row>
    <row r="339" spans="1:8" hidden="1" x14ac:dyDescent="0.2">
      <c r="A339" s="7">
        <v>200450</v>
      </c>
      <c r="B339" s="7" t="s">
        <v>258</v>
      </c>
      <c r="C339" s="7"/>
      <c r="D339" s="8">
        <v>25</v>
      </c>
      <c r="E339" s="8"/>
      <c r="F339" s="9"/>
      <c r="G339" s="10"/>
      <c r="H339" s="7"/>
    </row>
    <row r="340" spans="1:8" hidden="1" x14ac:dyDescent="0.2">
      <c r="A340" s="7">
        <v>200440</v>
      </c>
      <c r="B340" s="7" t="s">
        <v>205</v>
      </c>
      <c r="C340" s="7"/>
      <c r="D340" s="8">
        <v>26</v>
      </c>
      <c r="E340" s="8"/>
      <c r="F340" s="9"/>
      <c r="G340" s="10"/>
      <c r="H340" s="7"/>
    </row>
    <row r="341" spans="1:8" hidden="1" x14ac:dyDescent="0.2">
      <c r="A341" s="7">
        <v>200431</v>
      </c>
      <c r="B341" s="7" t="s">
        <v>265</v>
      </c>
      <c r="C341" s="7"/>
      <c r="D341" s="8">
        <v>27</v>
      </c>
      <c r="E341" s="8"/>
      <c r="F341" s="9"/>
      <c r="G341" s="10"/>
      <c r="H341" s="7"/>
    </row>
    <row r="342" spans="1:8" hidden="1" x14ac:dyDescent="0.2">
      <c r="A342" s="7">
        <v>1711</v>
      </c>
      <c r="B342" s="7" t="s">
        <v>225</v>
      </c>
      <c r="C342" s="7"/>
      <c r="D342" s="8">
        <v>17.3</v>
      </c>
      <c r="E342" s="8"/>
      <c r="F342" s="9"/>
      <c r="G342" s="10"/>
      <c r="H342" s="7"/>
    </row>
    <row r="343" spans="1:8" hidden="1" x14ac:dyDescent="0.2">
      <c r="A343" s="7">
        <v>200862</v>
      </c>
      <c r="B343" s="7" t="s">
        <v>480</v>
      </c>
      <c r="C343" s="7"/>
      <c r="D343" s="39">
        <v>230</v>
      </c>
      <c r="E343" s="39"/>
      <c r="F343" s="9"/>
      <c r="G343" s="10"/>
      <c r="H343" s="7" t="s">
        <v>481</v>
      </c>
    </row>
    <row r="344" spans="1:8" hidden="1" x14ac:dyDescent="0.2">
      <c r="A344" s="7">
        <v>200863</v>
      </c>
      <c r="B344" s="7" t="s">
        <v>189</v>
      </c>
      <c r="C344" s="7"/>
      <c r="D344" s="8">
        <v>300</v>
      </c>
      <c r="E344" s="8"/>
      <c r="F344" s="9"/>
      <c r="G344" s="10"/>
      <c r="H344" s="7"/>
    </row>
    <row r="345" spans="1:8" hidden="1" x14ac:dyDescent="0.2">
      <c r="A345" s="7">
        <v>200800</v>
      </c>
      <c r="B345" s="7" t="s">
        <v>211</v>
      </c>
      <c r="C345" s="7"/>
      <c r="D345" s="8">
        <v>69</v>
      </c>
      <c r="E345" s="8"/>
      <c r="F345" s="9"/>
      <c r="G345" s="10"/>
      <c r="H345" s="7"/>
    </row>
    <row r="346" spans="1:8" hidden="1" x14ac:dyDescent="0.2">
      <c r="A346" s="7">
        <v>200690</v>
      </c>
      <c r="B346" s="7" t="s">
        <v>214</v>
      </c>
      <c r="C346" s="7"/>
      <c r="D346" s="8">
        <v>69</v>
      </c>
      <c r="E346" s="8"/>
      <c r="F346" s="9"/>
      <c r="G346" s="10"/>
      <c r="H346" s="7"/>
    </row>
    <row r="347" spans="1:8" hidden="1" x14ac:dyDescent="0.2">
      <c r="A347" s="7" t="s">
        <v>38</v>
      </c>
      <c r="B347" s="7" t="s">
        <v>249</v>
      </c>
      <c r="C347" s="7"/>
      <c r="D347" s="8">
        <v>19.5</v>
      </c>
      <c r="E347" s="8"/>
      <c r="F347" s="9"/>
      <c r="G347" s="10"/>
      <c r="H347" s="7"/>
    </row>
    <row r="348" spans="1:8" hidden="1" x14ac:dyDescent="0.2">
      <c r="A348" s="7">
        <v>1501932</v>
      </c>
      <c r="B348" s="7" t="s">
        <v>204</v>
      </c>
      <c r="C348" s="7"/>
      <c r="D348" s="8">
        <v>2.8</v>
      </c>
      <c r="E348" s="8"/>
      <c r="F348" s="9"/>
      <c r="G348" s="10"/>
      <c r="H348" s="7"/>
    </row>
    <row r="349" spans="1:8" hidden="1" x14ac:dyDescent="0.2">
      <c r="A349" s="7">
        <v>1501900</v>
      </c>
      <c r="B349" s="7" t="s">
        <v>251</v>
      </c>
      <c r="C349" s="7"/>
      <c r="D349" s="8">
        <v>15.9</v>
      </c>
      <c r="E349" s="8"/>
      <c r="F349" s="9"/>
      <c r="G349" s="10"/>
      <c r="H349" s="7"/>
    </row>
    <row r="350" spans="1:8" hidden="1" x14ac:dyDescent="0.2">
      <c r="A350" s="7">
        <v>800130</v>
      </c>
      <c r="B350" s="7" t="s">
        <v>203</v>
      </c>
      <c r="C350" s="7"/>
      <c r="D350" s="8">
        <v>25</v>
      </c>
      <c r="E350" s="8"/>
      <c r="F350" s="9"/>
      <c r="G350" s="10"/>
      <c r="H350" s="7"/>
    </row>
    <row r="351" spans="1:8" hidden="1" x14ac:dyDescent="0.2">
      <c r="A351" s="7">
        <v>1800541</v>
      </c>
      <c r="B351" s="7" t="s">
        <v>254</v>
      </c>
      <c r="C351" s="7"/>
      <c r="D351" s="8">
        <v>7</v>
      </c>
      <c r="E351" s="8"/>
      <c r="F351" s="9"/>
      <c r="G351" s="10"/>
      <c r="H351" s="7"/>
    </row>
    <row r="352" spans="1:8" hidden="1" x14ac:dyDescent="0.2">
      <c r="A352" s="7">
        <v>1001931</v>
      </c>
      <c r="B352" s="7" t="s">
        <v>231</v>
      </c>
      <c r="C352" s="7"/>
      <c r="D352" s="8">
        <v>13.8</v>
      </c>
      <c r="E352" s="8"/>
      <c r="F352" s="9"/>
      <c r="G352" s="10"/>
      <c r="H352" s="7"/>
    </row>
    <row r="353" spans="1:8" hidden="1" x14ac:dyDescent="0.2">
      <c r="A353" s="7">
        <v>1001910</v>
      </c>
      <c r="B353" s="7" t="s">
        <v>195</v>
      </c>
      <c r="C353" s="7"/>
      <c r="D353" s="8">
        <v>17</v>
      </c>
      <c r="E353" s="8"/>
      <c r="F353" s="9"/>
      <c r="G353" s="10"/>
      <c r="H353" s="7"/>
    </row>
    <row r="354" spans="1:8" hidden="1" x14ac:dyDescent="0.2">
      <c r="A354" s="7">
        <v>2002000</v>
      </c>
      <c r="B354" s="7" t="s">
        <v>188</v>
      </c>
      <c r="C354" s="7"/>
      <c r="D354" s="8">
        <v>17</v>
      </c>
      <c r="E354" s="8"/>
      <c r="F354" s="9"/>
      <c r="G354" s="10"/>
      <c r="H354" s="7"/>
    </row>
    <row r="355" spans="1:8" hidden="1" x14ac:dyDescent="0.2">
      <c r="A355" s="7">
        <v>100420</v>
      </c>
      <c r="B355" s="7" t="s">
        <v>171</v>
      </c>
      <c r="C355" s="7"/>
      <c r="D355" s="38">
        <v>3.9</v>
      </c>
      <c r="E355" s="38"/>
      <c r="F355" s="9"/>
      <c r="G355" s="10"/>
      <c r="H355" s="7">
        <v>3.9</v>
      </c>
    </row>
    <row r="356" spans="1:8" hidden="1" x14ac:dyDescent="0.2">
      <c r="A356" s="7">
        <v>100456</v>
      </c>
      <c r="B356" s="7" t="s">
        <v>197</v>
      </c>
      <c r="C356" s="7"/>
      <c r="D356" s="8">
        <v>4.9000000000000004</v>
      </c>
      <c r="E356" s="8"/>
      <c r="F356" s="9"/>
      <c r="G356" s="10"/>
      <c r="H356" s="7"/>
    </row>
    <row r="357" spans="1:8" hidden="1" x14ac:dyDescent="0.2">
      <c r="A357" s="7">
        <v>1400130</v>
      </c>
      <c r="B357" s="7" t="s">
        <v>269</v>
      </c>
      <c r="C357" s="7"/>
      <c r="D357" s="8">
        <v>17</v>
      </c>
      <c r="E357" s="8"/>
      <c r="F357" s="9"/>
      <c r="G357" s="10"/>
      <c r="H357" s="7"/>
    </row>
    <row r="358" spans="1:8" hidden="1" x14ac:dyDescent="0.2">
      <c r="A358" s="7">
        <v>1400520</v>
      </c>
      <c r="B358" s="7" t="s">
        <v>185</v>
      </c>
      <c r="C358" s="7"/>
      <c r="D358" s="8">
        <v>6</v>
      </c>
      <c r="E358" s="8"/>
      <c r="F358" s="9"/>
      <c r="G358" s="10"/>
      <c r="H358" s="7"/>
    </row>
    <row r="359" spans="1:8" hidden="1" x14ac:dyDescent="0.2">
      <c r="A359" s="7">
        <v>901920</v>
      </c>
      <c r="B359" s="7" t="s">
        <v>263</v>
      </c>
      <c r="C359" s="7"/>
      <c r="D359" s="8">
        <v>52</v>
      </c>
      <c r="E359" s="8"/>
      <c r="F359" s="9"/>
      <c r="G359" s="10"/>
      <c r="H359" s="7"/>
    </row>
    <row r="360" spans="1:8" hidden="1" x14ac:dyDescent="0.2">
      <c r="A360" s="7">
        <v>200900</v>
      </c>
      <c r="B360" s="7" t="s">
        <v>257</v>
      </c>
      <c r="C360" s="7"/>
      <c r="D360" s="8">
        <v>21</v>
      </c>
      <c r="E360" s="8"/>
      <c r="F360" s="9"/>
      <c r="G360" s="10"/>
      <c r="H360" s="7"/>
    </row>
    <row r="361" spans="1:8" hidden="1" x14ac:dyDescent="0.2">
      <c r="A361" s="7">
        <v>1200741</v>
      </c>
      <c r="B361" s="7" t="s">
        <v>248</v>
      </c>
      <c r="C361" s="7"/>
      <c r="D361" s="8">
        <v>58</v>
      </c>
      <c r="E361" s="8"/>
      <c r="F361" s="9"/>
      <c r="G361" s="10"/>
      <c r="H361" s="7"/>
    </row>
    <row r="362" spans="1:8" hidden="1" x14ac:dyDescent="0.2">
      <c r="A362" s="7">
        <v>1200735</v>
      </c>
      <c r="B362" s="7" t="s">
        <v>212</v>
      </c>
      <c r="C362" s="7"/>
      <c r="D362" s="8">
        <v>73.599999999999994</v>
      </c>
      <c r="E362" s="8"/>
      <c r="F362" s="9"/>
      <c r="G362" s="10"/>
      <c r="H362" s="7"/>
    </row>
    <row r="363" spans="1:8" hidden="1" x14ac:dyDescent="0.2">
      <c r="A363" s="7">
        <v>902080</v>
      </c>
      <c r="B363" s="7" t="s">
        <v>183</v>
      </c>
      <c r="C363" s="7"/>
      <c r="D363" s="8">
        <v>39</v>
      </c>
      <c r="E363" s="8"/>
      <c r="F363" s="9"/>
      <c r="G363" s="10"/>
      <c r="H363" s="7">
        <v>48</v>
      </c>
    </row>
    <row r="364" spans="1:8" hidden="1" x14ac:dyDescent="0.2">
      <c r="A364" s="7">
        <v>1600577</v>
      </c>
      <c r="B364" s="7" t="s">
        <v>179</v>
      </c>
      <c r="C364" s="7"/>
      <c r="D364" s="8">
        <v>18.600000000000001</v>
      </c>
      <c r="E364" s="8"/>
      <c r="F364" s="9"/>
      <c r="G364" s="10"/>
      <c r="H364" s="7">
        <v>16</v>
      </c>
    </row>
    <row r="365" spans="1:8" hidden="1" x14ac:dyDescent="0.2">
      <c r="A365" s="7">
        <v>1002170</v>
      </c>
      <c r="B365" s="7" t="s">
        <v>209</v>
      </c>
      <c r="C365" s="7"/>
      <c r="D365" s="8">
        <v>26</v>
      </c>
      <c r="E365" s="8"/>
      <c r="F365" s="9"/>
      <c r="G365" s="10"/>
      <c r="H365" s="7"/>
    </row>
    <row r="366" spans="1:8" hidden="1" x14ac:dyDescent="0.2">
      <c r="A366" s="7">
        <v>1700291</v>
      </c>
      <c r="B366" s="7" t="s">
        <v>199</v>
      </c>
      <c r="C366" s="7"/>
      <c r="D366" s="8">
        <v>115</v>
      </c>
      <c r="E366" s="8"/>
      <c r="F366" s="9"/>
      <c r="G366" s="10"/>
      <c r="H366" s="7"/>
    </row>
    <row r="367" spans="1:8" hidden="1" x14ac:dyDescent="0.2">
      <c r="A367" s="7">
        <v>1700110</v>
      </c>
      <c r="B367" s="7" t="s">
        <v>200</v>
      </c>
      <c r="C367" s="7"/>
      <c r="D367" s="8">
        <v>110</v>
      </c>
      <c r="E367" s="8"/>
      <c r="F367" s="9"/>
      <c r="G367" s="10"/>
      <c r="H367" s="7"/>
    </row>
    <row r="368" spans="1:8" hidden="1" x14ac:dyDescent="0.2">
      <c r="A368" s="7">
        <v>1700114</v>
      </c>
      <c r="B368" s="7" t="s">
        <v>218</v>
      </c>
      <c r="C368" s="7"/>
      <c r="D368" s="8">
        <v>98</v>
      </c>
      <c r="E368" s="8"/>
      <c r="F368" s="9"/>
      <c r="G368" s="10"/>
      <c r="H368" s="7"/>
    </row>
    <row r="369" spans="1:8" hidden="1" x14ac:dyDescent="0.2">
      <c r="A369" s="7">
        <v>1700112</v>
      </c>
      <c r="B369" s="7" t="s">
        <v>172</v>
      </c>
      <c r="C369" s="7"/>
      <c r="D369" s="37">
        <v>115</v>
      </c>
      <c r="E369" s="37"/>
      <c r="F369" s="9"/>
      <c r="G369" s="10"/>
      <c r="H369" s="7"/>
    </row>
    <row r="370" spans="1:8" hidden="1" x14ac:dyDescent="0.2">
      <c r="A370" s="7">
        <v>1700400</v>
      </c>
      <c r="B370" s="7" t="s">
        <v>245</v>
      </c>
      <c r="C370" s="7"/>
      <c r="D370" s="8">
        <v>6.5</v>
      </c>
      <c r="E370" s="8"/>
      <c r="F370" s="9"/>
      <c r="G370" s="10"/>
      <c r="H370" s="7"/>
    </row>
    <row r="371" spans="1:8" hidden="1" x14ac:dyDescent="0.2">
      <c r="A371" s="7">
        <v>1502180</v>
      </c>
      <c r="B371" s="7" t="s">
        <v>264</v>
      </c>
      <c r="C371" s="7"/>
      <c r="D371" s="8">
        <v>4.5</v>
      </c>
      <c r="E371" s="8"/>
      <c r="F371" s="9"/>
      <c r="G371" s="10"/>
      <c r="H371" s="7"/>
    </row>
    <row r="372" spans="1:8" hidden="1" x14ac:dyDescent="0.2">
      <c r="A372" s="7">
        <v>1600650</v>
      </c>
      <c r="B372" s="7" t="s">
        <v>236</v>
      </c>
      <c r="C372" s="7"/>
      <c r="D372" s="8">
        <v>4.5</v>
      </c>
      <c r="E372" s="8"/>
      <c r="F372" s="9"/>
      <c r="G372" s="10"/>
      <c r="H372" s="7"/>
    </row>
    <row r="373" spans="1:8" hidden="1" x14ac:dyDescent="0.2">
      <c r="A373" s="7">
        <v>200969</v>
      </c>
      <c r="B373" s="7" t="s">
        <v>266</v>
      </c>
      <c r="C373" s="7"/>
      <c r="D373" s="8">
        <v>8</v>
      </c>
      <c r="E373" s="8"/>
      <c r="F373" s="9"/>
      <c r="G373" s="10"/>
      <c r="H373" s="7"/>
    </row>
    <row r="374" spans="1:8" hidden="1" x14ac:dyDescent="0.2">
      <c r="A374" s="7">
        <v>1400701</v>
      </c>
      <c r="B374" s="7" t="s">
        <v>221</v>
      </c>
      <c r="C374" s="7"/>
      <c r="D374" s="8">
        <v>58</v>
      </c>
      <c r="E374" s="8"/>
      <c r="F374" s="9"/>
      <c r="G374" s="10"/>
      <c r="H374" s="7"/>
    </row>
    <row r="375" spans="1:8" hidden="1" x14ac:dyDescent="0.2">
      <c r="A375" s="7">
        <v>1400705</v>
      </c>
      <c r="B375" s="7" t="s">
        <v>223</v>
      </c>
      <c r="C375" s="7"/>
      <c r="D375" s="8">
        <v>93</v>
      </c>
      <c r="E375" s="8"/>
      <c r="F375" s="9"/>
      <c r="G375" s="10"/>
      <c r="H375" s="7"/>
    </row>
    <row r="376" spans="1:8" hidden="1" x14ac:dyDescent="0.2">
      <c r="A376" s="7">
        <v>1600670</v>
      </c>
      <c r="B376" s="7" t="s">
        <v>181</v>
      </c>
      <c r="C376" s="7"/>
      <c r="D376" s="8">
        <v>18</v>
      </c>
      <c r="E376" s="8"/>
      <c r="F376" s="9"/>
      <c r="G376" s="10"/>
      <c r="H376" s="7"/>
    </row>
    <row r="377" spans="1:8" hidden="1" x14ac:dyDescent="0.2">
      <c r="A377" s="7">
        <v>1600670</v>
      </c>
      <c r="B377" s="7" t="s">
        <v>186</v>
      </c>
      <c r="C377" s="7"/>
      <c r="D377" s="8">
        <v>18</v>
      </c>
      <c r="E377" s="8"/>
      <c r="F377" s="9"/>
      <c r="G377" s="10"/>
      <c r="H377" s="7"/>
    </row>
    <row r="378" spans="1:8" hidden="1" x14ac:dyDescent="0.2">
      <c r="A378" s="7">
        <v>1200900</v>
      </c>
      <c r="B378" s="7" t="s">
        <v>252</v>
      </c>
      <c r="C378" s="7"/>
      <c r="D378" s="8">
        <v>16.5</v>
      </c>
      <c r="E378" s="8"/>
      <c r="F378" s="9"/>
      <c r="G378" s="10"/>
      <c r="H378" s="7"/>
    </row>
    <row r="379" spans="1:8" hidden="1" x14ac:dyDescent="0.2">
      <c r="A379" s="7">
        <v>1800422</v>
      </c>
      <c r="B379" s="7" t="s">
        <v>271</v>
      </c>
      <c r="C379" s="7"/>
      <c r="D379" s="8">
        <v>30</v>
      </c>
      <c r="E379" s="8"/>
      <c r="F379" s="9"/>
      <c r="G379" s="10"/>
      <c r="H379" s="7"/>
    </row>
    <row r="380" spans="1:8" hidden="1" x14ac:dyDescent="0.2">
      <c r="A380" s="7">
        <v>400010</v>
      </c>
      <c r="B380" s="7" t="s">
        <v>272</v>
      </c>
      <c r="C380" s="7"/>
      <c r="D380" s="8">
        <v>5.6</v>
      </c>
      <c r="E380" s="8"/>
      <c r="F380" s="9"/>
      <c r="G380" s="10"/>
      <c r="H380" s="7"/>
    </row>
    <row r="381" spans="1:8" hidden="1" x14ac:dyDescent="0.2">
      <c r="A381" s="7">
        <v>1200512</v>
      </c>
      <c r="B381" s="7" t="s">
        <v>273</v>
      </c>
      <c r="C381" s="7"/>
      <c r="D381" s="8">
        <v>18</v>
      </c>
      <c r="E381" s="8"/>
      <c r="F381" s="9"/>
      <c r="G381" s="10"/>
      <c r="H381" s="7"/>
    </row>
    <row r="382" spans="1:8" hidden="1" x14ac:dyDescent="0.2">
      <c r="A382" s="7">
        <v>800040</v>
      </c>
      <c r="B382" s="7" t="s">
        <v>274</v>
      </c>
      <c r="C382" s="7"/>
      <c r="D382" s="8">
        <v>14</v>
      </c>
      <c r="E382" s="8"/>
      <c r="F382" s="9"/>
      <c r="G382" s="10"/>
      <c r="H382" s="7"/>
    </row>
    <row r="383" spans="1:8" hidden="1" x14ac:dyDescent="0.2">
      <c r="A383" s="7">
        <v>200420</v>
      </c>
      <c r="B383" s="7" t="s">
        <v>275</v>
      </c>
      <c r="C383" s="7"/>
      <c r="D383" s="8">
        <v>25</v>
      </c>
      <c r="E383" s="8"/>
      <c r="F383" s="9"/>
      <c r="G383" s="10"/>
      <c r="H383" s="7"/>
    </row>
    <row r="384" spans="1:8" hidden="1" x14ac:dyDescent="0.2">
      <c r="A384" s="7">
        <v>1600374</v>
      </c>
      <c r="B384" s="7" t="s">
        <v>276</v>
      </c>
      <c r="C384" s="7"/>
      <c r="D384" s="8">
        <v>25</v>
      </c>
      <c r="E384" s="8"/>
      <c r="F384" s="9"/>
      <c r="G384" s="10"/>
      <c r="H384" s="7"/>
    </row>
    <row r="385" spans="1:8" hidden="1" x14ac:dyDescent="0.2">
      <c r="A385" s="7">
        <v>200971</v>
      </c>
      <c r="B385" s="7" t="s">
        <v>277</v>
      </c>
      <c r="C385" s="7"/>
      <c r="D385" s="8">
        <v>5.2</v>
      </c>
      <c r="E385" s="8"/>
      <c r="F385" s="9"/>
      <c r="G385" s="10"/>
      <c r="H385" s="7"/>
    </row>
    <row r="386" spans="1:8" hidden="1" x14ac:dyDescent="0.2">
      <c r="A386" s="7">
        <v>1600600</v>
      </c>
      <c r="B386" s="7" t="s">
        <v>278</v>
      </c>
      <c r="C386" s="7"/>
      <c r="D386" s="8">
        <v>17.5</v>
      </c>
      <c r="E386" s="8"/>
      <c r="F386" s="9"/>
      <c r="G386" s="10"/>
      <c r="H386" s="7"/>
    </row>
    <row r="387" spans="1:8" hidden="1" x14ac:dyDescent="0.2">
      <c r="A387" s="7">
        <v>1101180</v>
      </c>
      <c r="B387" s="7" t="s">
        <v>279</v>
      </c>
      <c r="C387" s="7"/>
      <c r="D387" s="8">
        <v>15</v>
      </c>
      <c r="E387" s="8"/>
      <c r="F387" s="9"/>
      <c r="G387" s="10"/>
      <c r="H387" s="7"/>
    </row>
    <row r="388" spans="1:8" hidden="1" x14ac:dyDescent="0.2">
      <c r="A388" s="7">
        <v>1200680</v>
      </c>
      <c r="B388" s="7" t="s">
        <v>280</v>
      </c>
      <c r="C388" s="7"/>
      <c r="D388" s="8">
        <v>49</v>
      </c>
      <c r="E388" s="8"/>
      <c r="F388" s="9"/>
      <c r="G388" s="10"/>
      <c r="H388" s="7"/>
    </row>
    <row r="389" spans="1:8" hidden="1" x14ac:dyDescent="0.2">
      <c r="A389" s="7">
        <v>1200202</v>
      </c>
      <c r="B389" s="7" t="s">
        <v>281</v>
      </c>
      <c r="C389" s="7"/>
      <c r="D389" s="8">
        <v>15</v>
      </c>
      <c r="E389" s="8"/>
      <c r="F389" s="9"/>
      <c r="G389" s="10"/>
      <c r="H389" s="7"/>
    </row>
    <row r="390" spans="1:8" hidden="1" x14ac:dyDescent="0.2">
      <c r="A390" s="7">
        <v>1200081</v>
      </c>
      <c r="B390" s="7" t="s">
        <v>282</v>
      </c>
      <c r="C390" s="7"/>
      <c r="D390" s="8">
        <v>20</v>
      </c>
      <c r="E390" s="8"/>
      <c r="F390" s="9"/>
      <c r="G390" s="10"/>
      <c r="H390" s="7"/>
    </row>
    <row r="391" spans="1:8" hidden="1" x14ac:dyDescent="0.2">
      <c r="A391" s="7">
        <v>1500130</v>
      </c>
      <c r="B391" s="7" t="s">
        <v>283</v>
      </c>
      <c r="C391" s="7"/>
      <c r="D391" s="8">
        <v>2.5</v>
      </c>
      <c r="E391" s="8"/>
      <c r="F391" s="9"/>
      <c r="G391" s="10"/>
      <c r="H391" s="7"/>
    </row>
    <row r="392" spans="1:8" hidden="1" x14ac:dyDescent="0.2">
      <c r="A392" s="7">
        <v>1900240</v>
      </c>
      <c r="B392" s="7" t="s">
        <v>284</v>
      </c>
      <c r="C392" s="7"/>
      <c r="D392" s="8">
        <v>38</v>
      </c>
      <c r="E392" s="8"/>
      <c r="F392" s="9"/>
      <c r="G392" s="10"/>
      <c r="H392" s="7"/>
    </row>
    <row r="393" spans="1:8" hidden="1" x14ac:dyDescent="0.2">
      <c r="A393" s="7">
        <v>1900243</v>
      </c>
      <c r="B393" s="7" t="s">
        <v>285</v>
      </c>
      <c r="C393" s="7"/>
      <c r="D393" s="8">
        <v>48</v>
      </c>
      <c r="E393" s="8"/>
      <c r="F393" s="9"/>
      <c r="G393" s="10"/>
      <c r="H393" s="7"/>
    </row>
    <row r="394" spans="1:8" hidden="1" x14ac:dyDescent="0.2">
      <c r="A394" s="7">
        <v>400100</v>
      </c>
      <c r="B394" s="7" t="s">
        <v>286</v>
      </c>
      <c r="C394" s="7"/>
      <c r="D394" s="8">
        <v>4.8499999999999996</v>
      </c>
      <c r="E394" s="8"/>
      <c r="F394" s="9"/>
      <c r="G394" s="10"/>
      <c r="H394" s="7"/>
    </row>
    <row r="395" spans="1:8" hidden="1" x14ac:dyDescent="0.2">
      <c r="A395" s="7">
        <v>200700</v>
      </c>
      <c r="B395" s="7" t="s">
        <v>287</v>
      </c>
      <c r="C395" s="7"/>
      <c r="D395" s="8">
        <v>65</v>
      </c>
      <c r="E395" s="8"/>
      <c r="F395" s="9"/>
      <c r="G395" s="10"/>
      <c r="H395" s="7"/>
    </row>
    <row r="396" spans="1:8" hidden="1" x14ac:dyDescent="0.2">
      <c r="A396" s="7">
        <v>1200435</v>
      </c>
      <c r="B396" s="7" t="s">
        <v>288</v>
      </c>
      <c r="C396" s="7"/>
      <c r="D396" s="8">
        <v>15.5</v>
      </c>
      <c r="E396" s="8"/>
      <c r="F396" s="9"/>
      <c r="G396" s="10"/>
      <c r="H396" s="7"/>
    </row>
    <row r="397" spans="1:8" hidden="1" x14ac:dyDescent="0.2">
      <c r="A397" s="7">
        <v>700200</v>
      </c>
      <c r="B397" s="7" t="s">
        <v>289</v>
      </c>
      <c r="C397" s="7"/>
      <c r="D397" s="8">
        <v>165</v>
      </c>
      <c r="E397" s="8"/>
      <c r="F397" s="9"/>
      <c r="G397" s="10"/>
      <c r="H397" s="7"/>
    </row>
    <row r="398" spans="1:8" hidden="1" x14ac:dyDescent="0.2">
      <c r="A398" s="7">
        <v>700000</v>
      </c>
      <c r="B398" s="7" t="s">
        <v>290</v>
      </c>
      <c r="C398" s="7"/>
      <c r="D398" s="8">
        <v>23.8</v>
      </c>
      <c r="E398" s="8"/>
      <c r="F398" s="9"/>
      <c r="G398" s="10"/>
      <c r="H398" s="7"/>
    </row>
    <row r="399" spans="1:8" hidden="1" x14ac:dyDescent="0.2">
      <c r="A399" s="7">
        <v>700440</v>
      </c>
      <c r="B399" s="7" t="s">
        <v>291</v>
      </c>
      <c r="C399" s="7"/>
      <c r="D399" s="8">
        <v>25</v>
      </c>
      <c r="E399" s="8"/>
      <c r="F399" s="9"/>
      <c r="G399" s="10"/>
      <c r="H399" s="7"/>
    </row>
    <row r="400" spans="1:8" hidden="1" x14ac:dyDescent="0.2">
      <c r="A400" s="7">
        <v>1800230</v>
      </c>
      <c r="B400" s="7" t="s">
        <v>292</v>
      </c>
      <c r="C400" s="7"/>
      <c r="D400" s="8">
        <v>24</v>
      </c>
      <c r="E400" s="8"/>
      <c r="F400" s="9"/>
      <c r="G400" s="10"/>
      <c r="H400" s="7"/>
    </row>
    <row r="401" spans="1:8" hidden="1" x14ac:dyDescent="0.2">
      <c r="A401" s="7">
        <v>1400500</v>
      </c>
      <c r="B401" s="7" t="s">
        <v>293</v>
      </c>
      <c r="C401" s="7"/>
      <c r="D401" s="8">
        <v>23</v>
      </c>
      <c r="E401" s="8"/>
      <c r="F401" s="9"/>
      <c r="G401" s="10"/>
      <c r="H401" s="7"/>
    </row>
    <row r="402" spans="1:8" hidden="1" x14ac:dyDescent="0.2">
      <c r="A402" s="7">
        <v>1200420</v>
      </c>
      <c r="B402" s="7" t="s">
        <v>294</v>
      </c>
      <c r="C402" s="7"/>
      <c r="D402" s="8">
        <v>15.5</v>
      </c>
      <c r="E402" s="8"/>
      <c r="F402" s="9"/>
      <c r="G402" s="10"/>
      <c r="H402" s="7"/>
    </row>
    <row r="403" spans="1:8" hidden="1" x14ac:dyDescent="0.2"/>
    <row r="404" spans="1:8" ht="18" x14ac:dyDescent="0.25">
      <c r="A404" s="11" t="s">
        <v>431</v>
      </c>
    </row>
    <row r="405" spans="1:8" ht="18" x14ac:dyDescent="0.25">
      <c r="A405" s="11"/>
    </row>
    <row r="406" spans="1:8" s="16" customFormat="1" ht="15" x14ac:dyDescent="0.25">
      <c r="A406" s="12" t="s">
        <v>0</v>
      </c>
      <c r="B406" s="12" t="s">
        <v>430</v>
      </c>
      <c r="C406" s="12" t="s">
        <v>19</v>
      </c>
      <c r="D406" s="13" t="s">
        <v>424</v>
      </c>
      <c r="E406" s="13"/>
      <c r="F406" s="14" t="s">
        <v>113</v>
      </c>
      <c r="G406" s="15" t="s">
        <v>425</v>
      </c>
      <c r="H406" s="12" t="s">
        <v>426</v>
      </c>
    </row>
    <row r="407" spans="1:8" s="16" customFormat="1" ht="15" x14ac:dyDescent="0.25">
      <c r="A407" s="12"/>
      <c r="B407" s="27" t="s">
        <v>718</v>
      </c>
      <c r="C407" s="27" t="s">
        <v>719</v>
      </c>
      <c r="D407" s="8">
        <v>91.89</v>
      </c>
      <c r="E407" s="8"/>
      <c r="F407" s="9"/>
      <c r="G407" s="10"/>
      <c r="H407" s="7"/>
    </row>
    <row r="408" spans="1:8" x14ac:dyDescent="0.2">
      <c r="A408" s="7"/>
      <c r="B408" s="27" t="s">
        <v>709</v>
      </c>
      <c r="C408" s="27" t="s">
        <v>20</v>
      </c>
      <c r="D408" s="8">
        <v>4.43</v>
      </c>
      <c r="E408" s="8"/>
      <c r="F408" s="9"/>
      <c r="G408" s="10"/>
      <c r="H408" s="7"/>
    </row>
    <row r="409" spans="1:8" x14ac:dyDescent="0.2">
      <c r="A409" s="7"/>
      <c r="B409" s="27" t="s">
        <v>708</v>
      </c>
      <c r="C409" s="27" t="s">
        <v>20</v>
      </c>
      <c r="D409" s="8">
        <v>10.35</v>
      </c>
      <c r="E409" s="8"/>
      <c r="F409" s="9"/>
      <c r="G409" s="10"/>
      <c r="H409" s="7"/>
    </row>
    <row r="410" spans="1:8" x14ac:dyDescent="0.2">
      <c r="A410" s="7"/>
      <c r="B410" s="27" t="s">
        <v>842</v>
      </c>
      <c r="C410" s="27"/>
      <c r="D410" s="8">
        <v>8.6999999999999993</v>
      </c>
      <c r="E410" s="8"/>
      <c r="F410" s="9"/>
      <c r="G410" s="10"/>
      <c r="H410" s="7"/>
    </row>
    <row r="411" spans="1:8" x14ac:dyDescent="0.2">
      <c r="A411" s="7"/>
      <c r="B411" s="27" t="s">
        <v>672</v>
      </c>
      <c r="C411" s="27" t="s">
        <v>20</v>
      </c>
      <c r="D411" s="8">
        <v>38</v>
      </c>
      <c r="E411" s="8"/>
      <c r="F411" s="9"/>
      <c r="G411" s="10"/>
      <c r="H411" s="7"/>
    </row>
    <row r="412" spans="1:8" x14ac:dyDescent="0.2">
      <c r="A412" s="30"/>
      <c r="B412" s="27" t="s">
        <v>670</v>
      </c>
      <c r="C412" s="27"/>
      <c r="D412" s="8">
        <v>14</v>
      </c>
      <c r="E412" s="8"/>
      <c r="F412" s="9"/>
      <c r="G412" s="10"/>
      <c r="H412" s="7"/>
    </row>
    <row r="413" spans="1:8" x14ac:dyDescent="0.2">
      <c r="A413" s="7"/>
      <c r="B413" s="27" t="s">
        <v>703</v>
      </c>
      <c r="C413" s="27"/>
      <c r="D413" s="8">
        <v>20.149999999999999</v>
      </c>
      <c r="E413" s="8"/>
      <c r="F413" s="9"/>
      <c r="G413" s="10"/>
      <c r="H413" s="7"/>
    </row>
    <row r="414" spans="1:8" x14ac:dyDescent="0.2">
      <c r="A414" s="30"/>
      <c r="B414" s="7" t="s">
        <v>346</v>
      </c>
      <c r="C414" s="7" t="s">
        <v>19</v>
      </c>
      <c r="D414" s="8">
        <v>23.58</v>
      </c>
      <c r="E414" s="8"/>
      <c r="F414" s="9"/>
      <c r="G414" s="10"/>
      <c r="H414" s="7"/>
    </row>
    <row r="415" spans="1:8" x14ac:dyDescent="0.2">
      <c r="A415" s="7"/>
      <c r="B415" s="7" t="s">
        <v>335</v>
      </c>
      <c r="C415" s="7" t="s">
        <v>19</v>
      </c>
      <c r="D415" s="8">
        <v>17.02</v>
      </c>
      <c r="E415" s="8"/>
      <c r="F415" s="9"/>
      <c r="G415" s="10"/>
      <c r="H415" s="7"/>
    </row>
    <row r="416" spans="1:8" ht="15" x14ac:dyDescent="0.25">
      <c r="A416" s="18"/>
      <c r="B416" s="31" t="s">
        <v>692</v>
      </c>
      <c r="C416" s="31" t="s">
        <v>20</v>
      </c>
      <c r="D416" s="32">
        <v>6.52</v>
      </c>
      <c r="E416" s="32"/>
      <c r="F416" s="14"/>
      <c r="G416" s="15"/>
      <c r="H416" s="12"/>
    </row>
    <row r="417" spans="1:8" x14ac:dyDescent="0.2">
      <c r="A417" s="18"/>
      <c r="B417" s="7" t="s">
        <v>344</v>
      </c>
      <c r="C417" s="7" t="s">
        <v>19</v>
      </c>
      <c r="D417" s="8">
        <v>25.71</v>
      </c>
      <c r="E417" s="8"/>
      <c r="F417" s="9"/>
      <c r="G417" s="10"/>
      <c r="H417" s="7"/>
    </row>
    <row r="418" spans="1:8" x14ac:dyDescent="0.2">
      <c r="A418" s="18"/>
      <c r="B418" s="7" t="s">
        <v>336</v>
      </c>
      <c r="C418" s="7" t="s">
        <v>19</v>
      </c>
      <c r="D418" s="8">
        <v>24</v>
      </c>
      <c r="E418" s="8"/>
      <c r="F418" s="9">
        <v>0.12</v>
      </c>
      <c r="G418" s="10">
        <f>D418*(1-F418)</f>
        <v>21.12</v>
      </c>
      <c r="H418" s="7"/>
    </row>
    <row r="419" spans="1:8" x14ac:dyDescent="0.2">
      <c r="A419" s="18"/>
      <c r="B419" s="27" t="s">
        <v>613</v>
      </c>
      <c r="C419" s="27" t="s">
        <v>19</v>
      </c>
      <c r="D419" s="8">
        <v>18.2</v>
      </c>
      <c r="E419" s="8"/>
      <c r="F419" s="9"/>
      <c r="G419" s="10"/>
      <c r="H419" s="7"/>
    </row>
    <row r="420" spans="1:8" x14ac:dyDescent="0.2">
      <c r="A420" s="18"/>
      <c r="B420" s="7" t="s">
        <v>337</v>
      </c>
      <c r="C420" s="7" t="s">
        <v>19</v>
      </c>
      <c r="D420" s="8">
        <v>28.6</v>
      </c>
      <c r="E420" s="8"/>
      <c r="F420" s="9"/>
      <c r="G420" s="10"/>
      <c r="H420" s="7">
        <v>26.7</v>
      </c>
    </row>
    <row r="421" spans="1:8" x14ac:dyDescent="0.2">
      <c r="A421" s="18"/>
      <c r="B421" s="27" t="s">
        <v>468</v>
      </c>
      <c r="C421" s="27" t="s">
        <v>19</v>
      </c>
      <c r="D421" s="8">
        <v>26.7</v>
      </c>
      <c r="E421" s="8"/>
      <c r="F421" s="9"/>
      <c r="G421" s="10"/>
      <c r="H421" s="7"/>
    </row>
    <row r="422" spans="1:8" x14ac:dyDescent="0.2">
      <c r="A422" s="18"/>
      <c r="B422" s="7" t="s">
        <v>343</v>
      </c>
      <c r="C422" s="7" t="s">
        <v>19</v>
      </c>
      <c r="D422" s="8">
        <v>27.9</v>
      </c>
      <c r="E422" s="8"/>
      <c r="F422" s="9"/>
      <c r="G422" s="10"/>
      <c r="H422" s="7">
        <v>23.5</v>
      </c>
    </row>
    <row r="423" spans="1:8" x14ac:dyDescent="0.2">
      <c r="A423" s="18"/>
      <c r="B423" s="27" t="s">
        <v>844</v>
      </c>
      <c r="C423" s="27"/>
      <c r="D423" s="8">
        <v>25.33</v>
      </c>
      <c r="E423" s="8"/>
      <c r="F423" s="9"/>
      <c r="G423" s="10"/>
      <c r="H423" s="7"/>
    </row>
    <row r="424" spans="1:8" x14ac:dyDescent="0.2">
      <c r="A424" s="7"/>
      <c r="B424" s="27" t="s">
        <v>637</v>
      </c>
      <c r="C424" s="27" t="s">
        <v>20</v>
      </c>
      <c r="D424" s="8">
        <v>18.899999999999999</v>
      </c>
      <c r="E424" s="8"/>
      <c r="F424" s="9"/>
      <c r="G424" s="10"/>
      <c r="H424" s="7"/>
    </row>
    <row r="425" spans="1:8" x14ac:dyDescent="0.2">
      <c r="A425" s="7"/>
      <c r="B425" s="27" t="s">
        <v>705</v>
      </c>
      <c r="C425" s="27"/>
      <c r="D425" s="8">
        <v>21.28</v>
      </c>
      <c r="E425" s="8"/>
      <c r="F425" s="9"/>
      <c r="G425" s="10"/>
      <c r="H425" s="7"/>
    </row>
    <row r="426" spans="1:8" x14ac:dyDescent="0.2">
      <c r="A426" s="7"/>
      <c r="B426" s="7" t="s">
        <v>333</v>
      </c>
      <c r="C426" s="7" t="s">
        <v>19</v>
      </c>
      <c r="D426" s="8">
        <v>150</v>
      </c>
      <c r="E426" s="8"/>
      <c r="F426" s="9">
        <v>0</v>
      </c>
      <c r="G426" s="10"/>
      <c r="H426" s="7"/>
    </row>
    <row r="427" spans="1:8" x14ac:dyDescent="0.2">
      <c r="A427" s="7"/>
      <c r="B427" s="7" t="s">
        <v>688</v>
      </c>
      <c r="C427" s="7"/>
      <c r="D427" s="8">
        <v>198</v>
      </c>
      <c r="E427" s="8"/>
      <c r="F427" s="9"/>
      <c r="G427" s="10"/>
      <c r="H427" s="7"/>
    </row>
    <row r="428" spans="1:8" x14ac:dyDescent="0.2">
      <c r="A428" s="7"/>
      <c r="B428" s="7" t="s">
        <v>352</v>
      </c>
      <c r="C428" s="7" t="s">
        <v>19</v>
      </c>
      <c r="D428" s="8">
        <v>130</v>
      </c>
      <c r="E428" s="8"/>
      <c r="F428" s="9">
        <v>0.06</v>
      </c>
      <c r="G428" s="10">
        <f>D428*(1-F428)</f>
        <v>122.19999999999999</v>
      </c>
      <c r="H428" s="7"/>
    </row>
    <row r="429" spans="1:8" x14ac:dyDescent="0.2">
      <c r="A429" s="7"/>
      <c r="B429" s="7" t="s">
        <v>332</v>
      </c>
      <c r="C429" s="7" t="s">
        <v>19</v>
      </c>
      <c r="D429" s="8">
        <v>310.5</v>
      </c>
      <c r="E429" s="8"/>
      <c r="F429" s="9">
        <v>0.12</v>
      </c>
      <c r="G429" s="10">
        <v>273.24</v>
      </c>
      <c r="H429" s="7">
        <v>28.8</v>
      </c>
    </row>
    <row r="430" spans="1:8" x14ac:dyDescent="0.2">
      <c r="A430" s="7"/>
      <c r="B430" s="7" t="s">
        <v>635</v>
      </c>
      <c r="C430" s="7" t="s">
        <v>20</v>
      </c>
      <c r="D430" s="8">
        <v>8.4</v>
      </c>
      <c r="E430" s="8"/>
      <c r="F430" s="9"/>
      <c r="G430" s="10"/>
      <c r="H430" s="7"/>
    </row>
    <row r="431" spans="1:8" x14ac:dyDescent="0.2">
      <c r="A431" s="7"/>
      <c r="B431" s="27" t="s">
        <v>845</v>
      </c>
      <c r="C431" s="27"/>
      <c r="D431" s="8">
        <v>24.52</v>
      </c>
      <c r="E431" s="8"/>
      <c r="F431" s="9"/>
      <c r="G431" s="10"/>
      <c r="H431" s="7"/>
    </row>
    <row r="432" spans="1:8" x14ac:dyDescent="0.2">
      <c r="A432" s="7"/>
      <c r="B432" s="27" t="s">
        <v>843</v>
      </c>
      <c r="C432" s="27" t="s">
        <v>20</v>
      </c>
      <c r="D432" s="8">
        <v>15</v>
      </c>
      <c r="E432" s="8"/>
      <c r="F432" s="9"/>
      <c r="G432" s="10"/>
      <c r="H432" s="7">
        <v>12.52</v>
      </c>
    </row>
    <row r="433" spans="1:8" x14ac:dyDescent="0.2">
      <c r="A433" s="7"/>
      <c r="B433" s="27" t="s">
        <v>669</v>
      </c>
      <c r="C433" s="27"/>
      <c r="D433" s="8">
        <v>10.9</v>
      </c>
      <c r="E433" s="8"/>
      <c r="F433" s="9"/>
      <c r="G433" s="10"/>
      <c r="H433" s="7"/>
    </row>
    <row r="434" spans="1:8" x14ac:dyDescent="0.2">
      <c r="A434" s="7"/>
      <c r="B434" s="7" t="s">
        <v>334</v>
      </c>
      <c r="C434" s="7" t="s">
        <v>19</v>
      </c>
      <c r="D434" s="8">
        <v>358.2</v>
      </c>
      <c r="E434" s="8"/>
      <c r="F434" s="9">
        <v>0</v>
      </c>
      <c r="G434" s="10"/>
      <c r="H434" s="7"/>
    </row>
    <row r="435" spans="1:8" x14ac:dyDescent="0.2">
      <c r="A435" s="7"/>
      <c r="B435" s="27" t="s">
        <v>846</v>
      </c>
      <c r="C435" s="27"/>
      <c r="D435" s="8">
        <v>24.55</v>
      </c>
      <c r="E435" s="8"/>
      <c r="F435" s="9"/>
      <c r="G435" s="10"/>
      <c r="H435" s="7"/>
    </row>
    <row r="436" spans="1:8" x14ac:dyDescent="0.2">
      <c r="A436" s="7"/>
      <c r="B436" s="27" t="s">
        <v>668</v>
      </c>
      <c r="C436" s="27"/>
      <c r="D436" s="8">
        <v>10.42</v>
      </c>
      <c r="E436" s="8"/>
      <c r="F436" s="9"/>
      <c r="G436" s="10"/>
      <c r="H436" s="7"/>
    </row>
    <row r="437" spans="1:8" x14ac:dyDescent="0.2">
      <c r="A437" s="7"/>
      <c r="B437" s="27" t="s">
        <v>674</v>
      </c>
      <c r="C437" s="27"/>
      <c r="D437" s="8">
        <v>19.579999999999998</v>
      </c>
      <c r="E437" s="8"/>
      <c r="F437" s="9"/>
      <c r="G437" s="10"/>
      <c r="H437" s="7"/>
    </row>
    <row r="438" spans="1:8" x14ac:dyDescent="0.2">
      <c r="A438" s="7"/>
      <c r="B438" s="27" t="s">
        <v>673</v>
      </c>
      <c r="C438" s="27"/>
      <c r="D438" s="8">
        <v>17.920000000000002</v>
      </c>
      <c r="E438" s="8"/>
      <c r="F438" s="9"/>
      <c r="G438" s="10"/>
      <c r="H438" s="7"/>
    </row>
    <row r="439" spans="1:8" x14ac:dyDescent="0.2">
      <c r="A439" s="7"/>
      <c r="B439" s="27" t="s">
        <v>638</v>
      </c>
      <c r="C439" s="27" t="s">
        <v>20</v>
      </c>
      <c r="D439" s="8">
        <v>17</v>
      </c>
      <c r="E439" s="8"/>
      <c r="F439" s="9"/>
      <c r="G439" s="10"/>
      <c r="H439" s="7">
        <v>14.14</v>
      </c>
    </row>
    <row r="440" spans="1:8" x14ac:dyDescent="0.2">
      <c r="A440" s="7"/>
      <c r="B440" s="27" t="s">
        <v>636</v>
      </c>
      <c r="C440" s="27" t="s">
        <v>20</v>
      </c>
      <c r="D440" s="8">
        <v>11.4</v>
      </c>
      <c r="E440" s="8"/>
      <c r="F440" s="9"/>
      <c r="G440" s="10"/>
      <c r="H440" s="7"/>
    </row>
    <row r="441" spans="1:8" x14ac:dyDescent="0.2">
      <c r="A441" s="7"/>
      <c r="B441" s="27" t="s">
        <v>639</v>
      </c>
      <c r="C441" s="27"/>
      <c r="D441" s="8">
        <v>11.97</v>
      </c>
      <c r="E441" s="8"/>
      <c r="F441" s="9"/>
      <c r="G441" s="10"/>
      <c r="H441" s="7"/>
    </row>
    <row r="442" spans="1:8" ht="18" x14ac:dyDescent="0.25">
      <c r="A442" s="11" t="s">
        <v>295</v>
      </c>
    </row>
    <row r="444" spans="1:8" s="16" customFormat="1" ht="15" x14ac:dyDescent="0.25">
      <c r="A444" s="12" t="s">
        <v>0</v>
      </c>
      <c r="B444" s="12" t="s">
        <v>430</v>
      </c>
      <c r="C444" s="12" t="s">
        <v>19</v>
      </c>
      <c r="D444" s="13" t="s">
        <v>424</v>
      </c>
      <c r="E444" s="13"/>
      <c r="F444" s="14" t="s">
        <v>113</v>
      </c>
      <c r="G444" s="15" t="s">
        <v>425</v>
      </c>
      <c r="H444" s="12" t="s">
        <v>426</v>
      </c>
    </row>
    <row r="445" spans="1:8" x14ac:dyDescent="0.2">
      <c r="A445" s="7">
        <v>70674</v>
      </c>
      <c r="B445" s="7" t="s">
        <v>312</v>
      </c>
      <c r="C445" s="19" t="s">
        <v>308</v>
      </c>
      <c r="D445" s="8">
        <v>25.04</v>
      </c>
      <c r="E445" s="43"/>
      <c r="F445" s="9">
        <v>0.21</v>
      </c>
      <c r="G445" s="36">
        <v>25.04</v>
      </c>
      <c r="H445" s="7"/>
    </row>
    <row r="446" spans="1:8" x14ac:dyDescent="0.2">
      <c r="A446" s="7">
        <v>1355</v>
      </c>
      <c r="B446" s="7" t="s">
        <v>313</v>
      </c>
      <c r="C446" s="19" t="s">
        <v>308</v>
      </c>
      <c r="D446" s="8">
        <v>39.29</v>
      </c>
      <c r="E446" s="43"/>
      <c r="F446" s="9">
        <v>0.25</v>
      </c>
      <c r="G446" s="10">
        <v>29.47</v>
      </c>
      <c r="H446" s="7"/>
    </row>
    <row r="447" spans="1:8" x14ac:dyDescent="0.2">
      <c r="A447" s="7"/>
      <c r="B447" s="7" t="s">
        <v>652</v>
      </c>
      <c r="C447" s="19"/>
      <c r="D447" s="8"/>
      <c r="E447" s="43"/>
      <c r="F447" s="9">
        <v>0.1</v>
      </c>
      <c r="G447" s="10">
        <v>20.14</v>
      </c>
      <c r="H447" s="7"/>
    </row>
    <row r="448" spans="1:8" x14ac:dyDescent="0.2">
      <c r="A448" s="7">
        <v>1257</v>
      </c>
      <c r="B448" s="7" t="s">
        <v>314</v>
      </c>
      <c r="C448" s="19" t="s">
        <v>463</v>
      </c>
      <c r="D448" s="8">
        <v>15.03</v>
      </c>
      <c r="E448" s="43"/>
      <c r="F448" s="9">
        <v>0.24</v>
      </c>
      <c r="G448" s="36">
        <v>9</v>
      </c>
      <c r="H448" s="7"/>
    </row>
    <row r="449" spans="1:9" x14ac:dyDescent="0.2">
      <c r="A449" s="7">
        <v>1259</v>
      </c>
      <c r="B449" s="7" t="s">
        <v>350</v>
      </c>
      <c r="C449" s="19" t="s">
        <v>463</v>
      </c>
      <c r="D449" s="8">
        <v>22.4</v>
      </c>
      <c r="E449" s="43"/>
      <c r="F449" s="9">
        <v>0.25</v>
      </c>
      <c r="G449" s="10">
        <v>22.4</v>
      </c>
      <c r="H449" s="7"/>
      <c r="I449">
        <v>21.75</v>
      </c>
    </row>
    <row r="450" spans="1:9" x14ac:dyDescent="0.2">
      <c r="A450" s="7">
        <v>1488</v>
      </c>
      <c r="B450" s="7" t="s">
        <v>311</v>
      </c>
      <c r="C450" s="19" t="s">
        <v>463</v>
      </c>
      <c r="D450" s="8">
        <v>30.83</v>
      </c>
      <c r="E450" s="43"/>
      <c r="F450" s="9">
        <v>0.21</v>
      </c>
      <c r="G450" s="36">
        <v>31.76</v>
      </c>
      <c r="H450" s="7">
        <v>35.15</v>
      </c>
      <c r="I450">
        <v>24.35</v>
      </c>
    </row>
    <row r="451" spans="1:9" x14ac:dyDescent="0.2">
      <c r="A451" s="7">
        <v>1213</v>
      </c>
      <c r="B451" s="7" t="s">
        <v>331</v>
      </c>
      <c r="C451" s="19" t="s">
        <v>303</v>
      </c>
      <c r="D451" s="37">
        <v>38.1</v>
      </c>
      <c r="E451" s="44"/>
      <c r="F451" s="9">
        <v>0.21</v>
      </c>
      <c r="G451" s="36">
        <f>D451*(1-F451)</f>
        <v>30.099000000000004</v>
      </c>
      <c r="H451" s="7"/>
    </row>
    <row r="452" spans="1:9" x14ac:dyDescent="0.2">
      <c r="A452" s="7"/>
      <c r="B452" s="7" t="s">
        <v>653</v>
      </c>
      <c r="C452" s="19"/>
      <c r="D452" s="8"/>
      <c r="E452" s="43"/>
      <c r="F452" s="9">
        <v>0.1</v>
      </c>
      <c r="G452" s="36">
        <v>18.61</v>
      </c>
      <c r="H452" s="7"/>
    </row>
    <row r="453" spans="1:9" x14ac:dyDescent="0.2">
      <c r="A453" s="7"/>
      <c r="B453" s="7" t="s">
        <v>671</v>
      </c>
      <c r="C453" s="19" t="s">
        <v>20</v>
      </c>
      <c r="D453" s="8"/>
      <c r="E453" s="43"/>
      <c r="F453" s="9"/>
      <c r="G453" s="36">
        <v>21</v>
      </c>
      <c r="H453" s="7"/>
    </row>
    <row r="454" spans="1:9" x14ac:dyDescent="0.2">
      <c r="A454" s="7"/>
      <c r="B454" s="27" t="s">
        <v>710</v>
      </c>
      <c r="C454" s="19"/>
      <c r="D454" s="8">
        <v>98.58</v>
      </c>
      <c r="E454" s="43"/>
      <c r="F454" s="9"/>
      <c r="G454" s="10"/>
      <c r="H454" s="7"/>
    </row>
    <row r="455" spans="1:9" x14ac:dyDescent="0.2">
      <c r="A455" s="7">
        <v>1223</v>
      </c>
      <c r="B455" s="7" t="s">
        <v>582</v>
      </c>
      <c r="C455" s="7"/>
      <c r="D455" s="8">
        <v>109.53</v>
      </c>
      <c r="E455" s="43"/>
      <c r="F455" s="9"/>
      <c r="G455" s="10">
        <v>82.32</v>
      </c>
      <c r="H455" s="7">
        <v>82.32</v>
      </c>
    </row>
    <row r="456" spans="1:9" x14ac:dyDescent="0.2">
      <c r="A456" s="7">
        <v>1373</v>
      </c>
      <c r="B456" s="7" t="s">
        <v>322</v>
      </c>
      <c r="C456" s="7"/>
      <c r="D456" s="37">
        <v>94.67</v>
      </c>
      <c r="E456" s="44"/>
      <c r="F456" s="9"/>
      <c r="G456" s="10"/>
      <c r="H456" s="7"/>
    </row>
    <row r="457" spans="1:9" x14ac:dyDescent="0.2">
      <c r="A457" s="7"/>
      <c r="B457" s="7" t="s">
        <v>365</v>
      </c>
      <c r="C457" s="7"/>
      <c r="D457" s="8"/>
      <c r="E457" s="43"/>
      <c r="F457" s="9"/>
      <c r="G457" s="10"/>
      <c r="H457" s="7"/>
    </row>
    <row r="458" spans="1:9" x14ac:dyDescent="0.2">
      <c r="A458" s="7">
        <v>19339</v>
      </c>
      <c r="B458" s="7" t="s">
        <v>364</v>
      </c>
      <c r="C458" s="19" t="s">
        <v>342</v>
      </c>
      <c r="D458" s="8">
        <v>160</v>
      </c>
      <c r="E458" s="43"/>
      <c r="F458" s="9"/>
      <c r="G458" s="10"/>
      <c r="H458" s="7"/>
    </row>
    <row r="459" spans="1:9" x14ac:dyDescent="0.2">
      <c r="A459" s="7">
        <v>19338</v>
      </c>
      <c r="B459" s="7" t="s">
        <v>363</v>
      </c>
      <c r="C459" s="19" t="s">
        <v>342</v>
      </c>
      <c r="D459" s="8">
        <v>168</v>
      </c>
      <c r="E459" s="43"/>
      <c r="F459" s="9"/>
      <c r="G459" s="10"/>
      <c r="H459" s="7"/>
    </row>
    <row r="460" spans="1:9" x14ac:dyDescent="0.2">
      <c r="A460" s="7">
        <v>8084</v>
      </c>
      <c r="B460" s="7" t="s">
        <v>310</v>
      </c>
      <c r="C460" s="19" t="s">
        <v>329</v>
      </c>
      <c r="D460" s="37">
        <v>21.54</v>
      </c>
      <c r="E460" s="44"/>
      <c r="F460" s="9"/>
      <c r="G460" s="10"/>
      <c r="H460" s="7"/>
    </row>
    <row r="461" spans="1:9" x14ac:dyDescent="0.2">
      <c r="A461" s="7">
        <v>6673</v>
      </c>
      <c r="B461" s="7" t="s">
        <v>357</v>
      </c>
      <c r="C461" s="19" t="s">
        <v>329</v>
      </c>
      <c r="D461" s="8">
        <v>7.45</v>
      </c>
      <c r="E461" s="43"/>
      <c r="F461" s="9"/>
      <c r="G461" s="10">
        <v>6.56</v>
      </c>
      <c r="H461" s="7">
        <v>6.93</v>
      </c>
    </row>
    <row r="462" spans="1:9" x14ac:dyDescent="0.2">
      <c r="A462" s="7">
        <v>1404</v>
      </c>
      <c r="B462" s="7" t="s">
        <v>340</v>
      </c>
      <c r="C462" s="19" t="s">
        <v>329</v>
      </c>
      <c r="D462" s="8">
        <v>6.02</v>
      </c>
      <c r="E462" s="43"/>
      <c r="F462" s="9"/>
      <c r="G462" s="10">
        <v>5.3</v>
      </c>
      <c r="H462" s="7">
        <v>5.81</v>
      </c>
    </row>
    <row r="463" spans="1:9" x14ac:dyDescent="0.2">
      <c r="A463" s="7">
        <v>3061</v>
      </c>
      <c r="B463" s="7" t="s">
        <v>328</v>
      </c>
      <c r="C463" s="19" t="s">
        <v>329</v>
      </c>
      <c r="D463" s="8">
        <v>6.02</v>
      </c>
      <c r="E463" s="43">
        <v>6.64</v>
      </c>
      <c r="F463" s="22"/>
      <c r="G463" s="10">
        <v>5.3</v>
      </c>
      <c r="H463" s="7">
        <v>5.81</v>
      </c>
    </row>
    <row r="464" spans="1:9" x14ac:dyDescent="0.2">
      <c r="A464" s="7"/>
      <c r="B464" s="41" t="s">
        <v>930</v>
      </c>
      <c r="C464" s="45" t="s">
        <v>329</v>
      </c>
      <c r="D464" s="8"/>
      <c r="E464" s="43">
        <v>6.64</v>
      </c>
      <c r="F464" s="9"/>
      <c r="G464" s="10"/>
      <c r="H464" s="7"/>
    </row>
    <row r="465" spans="1:9" x14ac:dyDescent="0.2">
      <c r="A465" s="7">
        <v>17853</v>
      </c>
      <c r="B465" s="7" t="s">
        <v>360</v>
      </c>
      <c r="C465" s="19" t="s">
        <v>297</v>
      </c>
      <c r="D465" s="8">
        <v>38</v>
      </c>
      <c r="E465" s="43"/>
      <c r="F465" s="9"/>
      <c r="G465" s="10"/>
      <c r="H465" s="7"/>
    </row>
    <row r="466" spans="1:9" x14ac:dyDescent="0.2">
      <c r="A466" s="7">
        <v>16831</v>
      </c>
      <c r="B466" s="7" t="s">
        <v>358</v>
      </c>
      <c r="C466" s="19" t="s">
        <v>297</v>
      </c>
      <c r="D466" s="8">
        <v>63</v>
      </c>
      <c r="E466" s="43"/>
      <c r="F466" s="9"/>
      <c r="G466" s="10"/>
      <c r="H466" s="7"/>
    </row>
    <row r="467" spans="1:9" x14ac:dyDescent="0.2">
      <c r="A467" s="7"/>
      <c r="B467" s="41" t="s">
        <v>933</v>
      </c>
      <c r="C467" s="45" t="s">
        <v>932</v>
      </c>
      <c r="D467" s="8"/>
      <c r="E467" s="43">
        <v>122.79</v>
      </c>
      <c r="F467" s="9"/>
      <c r="G467" s="10"/>
      <c r="H467" s="7"/>
    </row>
    <row r="468" spans="1:9" x14ac:dyDescent="0.2">
      <c r="A468" s="7"/>
      <c r="B468" s="41" t="s">
        <v>934</v>
      </c>
      <c r="C468" s="45" t="s">
        <v>932</v>
      </c>
      <c r="D468" s="8"/>
      <c r="E468" s="43">
        <v>122.79</v>
      </c>
      <c r="F468" s="9"/>
      <c r="G468" s="10"/>
      <c r="H468" s="7"/>
    </row>
    <row r="469" spans="1:9" x14ac:dyDescent="0.2">
      <c r="A469" s="7"/>
      <c r="B469" s="41" t="s">
        <v>936</v>
      </c>
      <c r="C469" s="45" t="s">
        <v>932</v>
      </c>
      <c r="D469" s="8"/>
      <c r="E469" s="43">
        <v>129.59</v>
      </c>
      <c r="F469" s="9"/>
      <c r="G469" s="10"/>
      <c r="H469" s="7"/>
    </row>
    <row r="470" spans="1:9" x14ac:dyDescent="0.2">
      <c r="A470" s="7"/>
      <c r="B470" s="41" t="s">
        <v>937</v>
      </c>
      <c r="C470" s="45" t="s">
        <v>938</v>
      </c>
      <c r="D470" s="8"/>
      <c r="E470" s="43">
        <v>2.83</v>
      </c>
      <c r="F470" s="9"/>
      <c r="G470" s="10"/>
      <c r="H470" s="7"/>
    </row>
    <row r="471" spans="1:9" x14ac:dyDescent="0.2">
      <c r="A471" s="7"/>
      <c r="B471" s="41" t="s">
        <v>931</v>
      </c>
      <c r="C471" s="45" t="s">
        <v>932</v>
      </c>
      <c r="D471" s="8"/>
      <c r="E471" s="43">
        <v>108.3</v>
      </c>
      <c r="F471" s="9"/>
      <c r="G471" s="10"/>
      <c r="H471" s="7"/>
    </row>
    <row r="472" spans="1:9" x14ac:dyDescent="0.2">
      <c r="A472" s="7"/>
      <c r="B472" s="41" t="s">
        <v>935</v>
      </c>
      <c r="C472" s="45" t="s">
        <v>932</v>
      </c>
      <c r="D472" s="8"/>
      <c r="E472" s="43">
        <v>122.79</v>
      </c>
      <c r="F472" s="9"/>
      <c r="G472" s="10"/>
      <c r="H472" s="7"/>
    </row>
    <row r="473" spans="1:9" x14ac:dyDescent="0.2">
      <c r="A473" s="7">
        <v>7028</v>
      </c>
      <c r="B473" s="7" t="s">
        <v>569</v>
      </c>
      <c r="C473" s="7" t="s">
        <v>462</v>
      </c>
      <c r="D473" s="37">
        <v>31.06</v>
      </c>
      <c r="E473" s="44"/>
      <c r="F473" s="9">
        <v>8.2500000000000004E-2</v>
      </c>
      <c r="G473" s="10">
        <v>33.979999999999997</v>
      </c>
      <c r="H473" s="7"/>
    </row>
    <row r="474" spans="1:9" x14ac:dyDescent="0.2">
      <c r="A474" s="7">
        <v>7451</v>
      </c>
      <c r="B474" s="7" t="s">
        <v>494</v>
      </c>
      <c r="C474" s="19"/>
      <c r="D474" s="37">
        <v>32.549999999999997</v>
      </c>
      <c r="E474" s="44"/>
      <c r="F474" s="9">
        <v>8.2600000000000007E-2</v>
      </c>
      <c r="G474" s="36">
        <v>27.49</v>
      </c>
      <c r="H474" s="7"/>
    </row>
    <row r="475" spans="1:9" x14ac:dyDescent="0.2">
      <c r="A475" s="7">
        <v>7406</v>
      </c>
      <c r="B475" s="7" t="s">
        <v>484</v>
      </c>
      <c r="C475" s="19" t="s">
        <v>462</v>
      </c>
      <c r="D475" s="37">
        <v>31.22</v>
      </c>
      <c r="E475" s="44"/>
      <c r="F475" s="9">
        <v>0.12</v>
      </c>
      <c r="G475" s="36">
        <v>28.9</v>
      </c>
      <c r="H475" s="7"/>
    </row>
    <row r="476" spans="1:9" x14ac:dyDescent="0.2">
      <c r="A476" s="7">
        <v>2153</v>
      </c>
      <c r="B476" s="7" t="s">
        <v>323</v>
      </c>
      <c r="C476" s="19" t="s">
        <v>303</v>
      </c>
      <c r="D476" s="37">
        <v>37.04</v>
      </c>
      <c r="E476" s="44"/>
      <c r="F476" s="9">
        <v>0.12</v>
      </c>
      <c r="G476" s="36">
        <v>32.6</v>
      </c>
      <c r="H476" s="7">
        <v>27.49</v>
      </c>
      <c r="I476">
        <v>28.9</v>
      </c>
    </row>
    <row r="477" spans="1:9" x14ac:dyDescent="0.2">
      <c r="A477" s="7">
        <v>7390</v>
      </c>
      <c r="B477" s="7" t="s">
        <v>495</v>
      </c>
      <c r="C477" s="19"/>
      <c r="D477" s="37">
        <v>29.96</v>
      </c>
      <c r="E477" s="44"/>
      <c r="F477" s="9">
        <v>0.08</v>
      </c>
      <c r="G477" s="36">
        <v>27.49</v>
      </c>
      <c r="H477" s="7"/>
    </row>
    <row r="478" spans="1:9" x14ac:dyDescent="0.2">
      <c r="A478" s="7"/>
      <c r="B478" s="7" t="s">
        <v>702</v>
      </c>
      <c r="C478" s="19"/>
      <c r="D478" s="37">
        <v>25.03</v>
      </c>
      <c r="E478" s="44"/>
      <c r="F478" s="9"/>
      <c r="G478" s="36"/>
      <c r="H478" s="7"/>
    </row>
    <row r="479" spans="1:9" x14ac:dyDescent="0.2">
      <c r="A479" s="7">
        <v>2184</v>
      </c>
      <c r="B479" s="7" t="s">
        <v>330</v>
      </c>
      <c r="C479" s="7" t="s">
        <v>303</v>
      </c>
      <c r="D479" s="8">
        <v>113.18</v>
      </c>
      <c r="E479" s="43"/>
      <c r="F479" s="9"/>
      <c r="G479" s="10"/>
      <c r="H479" s="7"/>
    </row>
    <row r="480" spans="1:9" x14ac:dyDescent="0.2">
      <c r="A480" s="7">
        <v>2108</v>
      </c>
      <c r="B480" s="7" t="s">
        <v>305</v>
      </c>
      <c r="C480" s="7" t="s">
        <v>303</v>
      </c>
      <c r="D480" s="8">
        <v>126.18</v>
      </c>
      <c r="E480" s="43"/>
      <c r="F480" s="9"/>
      <c r="G480" s="10">
        <v>126.18</v>
      </c>
      <c r="H480" s="7"/>
      <c r="I480">
        <v>120.86</v>
      </c>
    </row>
    <row r="481" spans="1:10" x14ac:dyDescent="0.2">
      <c r="A481" s="7">
        <v>8266</v>
      </c>
      <c r="B481" s="7" t="s">
        <v>355</v>
      </c>
      <c r="C481" s="19" t="s">
        <v>19</v>
      </c>
      <c r="D481" s="8">
        <v>17.09</v>
      </c>
      <c r="E481" s="43"/>
      <c r="F481" s="22">
        <v>8.7300000000000003E-2</v>
      </c>
      <c r="G481" s="10">
        <f>D481*(1-F481)</f>
        <v>15.598042999999999</v>
      </c>
      <c r="H481" s="7"/>
    </row>
    <row r="482" spans="1:10" x14ac:dyDescent="0.2">
      <c r="A482" s="7">
        <v>3614</v>
      </c>
      <c r="B482" s="7" t="s">
        <v>349</v>
      </c>
      <c r="C482" s="19" t="s">
        <v>303</v>
      </c>
      <c r="D482" s="37">
        <v>45.37</v>
      </c>
      <c r="E482" s="44"/>
      <c r="F482" s="9"/>
      <c r="G482" s="10"/>
      <c r="H482" s="7"/>
    </row>
    <row r="483" spans="1:10" x14ac:dyDescent="0.2">
      <c r="A483" s="7">
        <v>2127</v>
      </c>
      <c r="B483" s="7" t="s">
        <v>306</v>
      </c>
      <c r="C483" s="7" t="s">
        <v>303</v>
      </c>
      <c r="D483" s="8">
        <v>45.37</v>
      </c>
      <c r="E483" s="43"/>
      <c r="F483" s="9">
        <v>0.2</v>
      </c>
      <c r="G483" s="10">
        <f>D483*(1-F483)</f>
        <v>36.295999999999999</v>
      </c>
      <c r="H483" s="7"/>
    </row>
    <row r="484" spans="1:10" x14ac:dyDescent="0.2">
      <c r="A484" s="7">
        <v>1892</v>
      </c>
      <c r="B484" s="7" t="s">
        <v>304</v>
      </c>
      <c r="C484" s="19" t="s">
        <v>297</v>
      </c>
      <c r="D484" s="8">
        <v>55.81</v>
      </c>
      <c r="E484" s="43"/>
      <c r="F484" s="9"/>
      <c r="G484" s="10"/>
      <c r="H484" s="7"/>
    </row>
    <row r="485" spans="1:10" x14ac:dyDescent="0.2">
      <c r="A485" s="7">
        <v>1417</v>
      </c>
      <c r="B485" s="7" t="s">
        <v>327</v>
      </c>
      <c r="C485" s="19" t="s">
        <v>303</v>
      </c>
      <c r="D485" s="8">
        <v>85.82</v>
      </c>
      <c r="E485" s="43"/>
      <c r="F485" s="9"/>
      <c r="G485" s="10"/>
      <c r="H485" s="7"/>
      <c r="J485" t="s">
        <v>469</v>
      </c>
    </row>
    <row r="486" spans="1:10" x14ac:dyDescent="0.2">
      <c r="A486" s="7">
        <v>2753</v>
      </c>
      <c r="B486" s="7" t="s">
        <v>485</v>
      </c>
      <c r="C486" s="19" t="s">
        <v>19</v>
      </c>
      <c r="D486" s="8">
        <v>36.04</v>
      </c>
      <c r="E486" s="43">
        <v>23.23</v>
      </c>
      <c r="F486" s="9">
        <v>0.06</v>
      </c>
      <c r="G486" s="10">
        <v>33.880000000000003</v>
      </c>
      <c r="H486" s="7"/>
    </row>
    <row r="487" spans="1:10" x14ac:dyDescent="0.2">
      <c r="A487" s="7">
        <v>6972</v>
      </c>
      <c r="B487" s="7" t="s">
        <v>339</v>
      </c>
      <c r="C487" s="19" t="s">
        <v>303</v>
      </c>
      <c r="D487" s="8">
        <v>90.11</v>
      </c>
      <c r="E487" s="43"/>
      <c r="F487" s="9"/>
      <c r="G487" s="10"/>
      <c r="H487" s="7">
        <v>81.319999999999993</v>
      </c>
    </row>
    <row r="488" spans="1:10" x14ac:dyDescent="0.2">
      <c r="A488" s="7">
        <v>6943</v>
      </c>
      <c r="B488" s="7" t="s">
        <v>341</v>
      </c>
      <c r="C488" s="7" t="s">
        <v>297</v>
      </c>
      <c r="D488" s="8">
        <v>63.83</v>
      </c>
      <c r="E488" s="43"/>
      <c r="F488" s="9"/>
      <c r="G488" s="10"/>
      <c r="H488" s="7"/>
    </row>
    <row r="489" spans="1:10" x14ac:dyDescent="0.2">
      <c r="A489" s="7">
        <v>3331</v>
      </c>
      <c r="B489" s="7" t="s">
        <v>298</v>
      </c>
      <c r="C489" s="19" t="s">
        <v>297</v>
      </c>
      <c r="D489" s="37">
        <v>73.400000000000006</v>
      </c>
      <c r="E489" s="44"/>
      <c r="F489" s="9"/>
      <c r="G489" s="10"/>
      <c r="H489" s="7">
        <v>63</v>
      </c>
    </row>
    <row r="490" spans="1:10" x14ac:dyDescent="0.2">
      <c r="A490" s="7">
        <v>7566</v>
      </c>
      <c r="B490" s="7" t="s">
        <v>667</v>
      </c>
      <c r="C490" s="19" t="s">
        <v>316</v>
      </c>
      <c r="D490" s="37">
        <v>29.2</v>
      </c>
      <c r="E490" s="44"/>
      <c r="F490" s="9"/>
      <c r="G490" s="36">
        <v>34.11</v>
      </c>
      <c r="H490" s="7"/>
      <c r="J490" t="s">
        <v>469</v>
      </c>
    </row>
    <row r="491" spans="1:10" x14ac:dyDescent="0.2">
      <c r="A491" s="7">
        <v>7733</v>
      </c>
      <c r="B491" s="7" t="s">
        <v>309</v>
      </c>
      <c r="C491" s="19" t="s">
        <v>308</v>
      </c>
      <c r="D491" s="8">
        <v>29.2</v>
      </c>
      <c r="E491" s="43"/>
      <c r="F491" s="9">
        <v>0.1</v>
      </c>
      <c r="G491" s="10">
        <f>D491*(1-F491)</f>
        <v>26.28</v>
      </c>
      <c r="H491" s="7"/>
    </row>
    <row r="492" spans="1:10" x14ac:dyDescent="0.2">
      <c r="A492" s="7">
        <v>7562</v>
      </c>
      <c r="B492" s="7" t="s">
        <v>307</v>
      </c>
      <c r="C492" s="19" t="s">
        <v>316</v>
      </c>
      <c r="D492" s="8">
        <v>37.130000000000003</v>
      </c>
      <c r="E492" s="43"/>
      <c r="F492" s="9">
        <v>0.1</v>
      </c>
      <c r="G492" s="10">
        <f>D492*(1-F492)</f>
        <v>33.417000000000002</v>
      </c>
      <c r="H492" s="7"/>
    </row>
    <row r="493" spans="1:10" x14ac:dyDescent="0.2">
      <c r="A493" s="7">
        <v>1089</v>
      </c>
      <c r="B493" s="7" t="s">
        <v>661</v>
      </c>
      <c r="C493" s="19"/>
      <c r="D493" s="8">
        <v>34.11</v>
      </c>
      <c r="E493" s="43"/>
      <c r="F493" s="9"/>
      <c r="G493" s="10">
        <v>34.11</v>
      </c>
      <c r="H493" s="7"/>
    </row>
    <row r="494" spans="1:10" x14ac:dyDescent="0.2">
      <c r="A494" s="7"/>
      <c r="B494" s="7" t="s">
        <v>694</v>
      </c>
      <c r="C494" s="19" t="s">
        <v>695</v>
      </c>
      <c r="D494" s="8">
        <v>34.11</v>
      </c>
      <c r="E494" s="43"/>
      <c r="F494" s="9"/>
      <c r="G494" s="10"/>
      <c r="H494" s="7"/>
    </row>
    <row r="495" spans="1:10" x14ac:dyDescent="0.2">
      <c r="A495" s="7">
        <v>7735</v>
      </c>
      <c r="B495" s="7" t="s">
        <v>317</v>
      </c>
      <c r="C495" s="19" t="s">
        <v>316</v>
      </c>
      <c r="D495" s="8">
        <v>29.2</v>
      </c>
      <c r="E495" s="43"/>
      <c r="F495" s="9">
        <v>0.1</v>
      </c>
      <c r="G495" s="10">
        <f>D495*(1-F495)</f>
        <v>26.28</v>
      </c>
      <c r="H495" s="7"/>
    </row>
    <row r="496" spans="1:10" x14ac:dyDescent="0.2">
      <c r="A496" s="7">
        <v>7731</v>
      </c>
      <c r="B496" s="7" t="s">
        <v>660</v>
      </c>
      <c r="C496" s="19" t="s">
        <v>316</v>
      </c>
      <c r="D496" s="8">
        <v>29.2</v>
      </c>
      <c r="E496" s="43"/>
      <c r="F496" s="9">
        <v>0.1</v>
      </c>
      <c r="G496" s="10">
        <v>30.7</v>
      </c>
      <c r="H496" s="7"/>
    </row>
    <row r="497" spans="1:10" x14ac:dyDescent="0.2">
      <c r="A497" s="7"/>
      <c r="B497" s="7" t="s">
        <v>651</v>
      </c>
      <c r="C497" s="19"/>
      <c r="D497" s="8">
        <v>19.73</v>
      </c>
      <c r="E497" s="43"/>
      <c r="F497" s="9"/>
      <c r="G497" s="10">
        <v>19.73</v>
      </c>
      <c r="H497" s="7"/>
    </row>
    <row r="498" spans="1:10" x14ac:dyDescent="0.2">
      <c r="A498" s="7"/>
      <c r="B498" s="7" t="s">
        <v>315</v>
      </c>
      <c r="C498" s="19" t="s">
        <v>297</v>
      </c>
      <c r="D498" s="8">
        <v>19.64</v>
      </c>
      <c r="E498" s="43"/>
      <c r="F498" s="9"/>
      <c r="G498" s="10"/>
      <c r="H498" s="7"/>
    </row>
    <row r="499" spans="1:10" x14ac:dyDescent="0.2">
      <c r="A499" s="7">
        <v>5811</v>
      </c>
      <c r="B499" s="7" t="s">
        <v>744</v>
      </c>
      <c r="C499" s="19"/>
      <c r="D499" s="8">
        <v>17.93</v>
      </c>
      <c r="E499" s="43"/>
      <c r="F499" s="9"/>
      <c r="G499" s="10"/>
      <c r="H499" s="7"/>
    </row>
    <row r="500" spans="1:10" x14ac:dyDescent="0.2">
      <c r="A500" s="7">
        <v>13128</v>
      </c>
      <c r="B500" s="7" t="s">
        <v>353</v>
      </c>
      <c r="C500" s="19" t="s">
        <v>297</v>
      </c>
      <c r="D500" s="8">
        <v>19.71</v>
      </c>
      <c r="E500" s="43"/>
      <c r="F500" s="9"/>
      <c r="G500" s="10"/>
      <c r="H500" s="7"/>
    </row>
    <row r="501" spans="1:10" x14ac:dyDescent="0.2">
      <c r="A501" s="7">
        <v>2118</v>
      </c>
      <c r="B501" s="7" t="s">
        <v>354</v>
      </c>
      <c r="C501" s="19" t="s">
        <v>303</v>
      </c>
      <c r="D501" s="8">
        <v>40.369999999999997</v>
      </c>
      <c r="E501" s="43"/>
      <c r="F501" s="9"/>
      <c r="G501" s="10"/>
      <c r="H501" s="7"/>
    </row>
    <row r="502" spans="1:10" x14ac:dyDescent="0.2">
      <c r="A502" s="7">
        <v>2136</v>
      </c>
      <c r="B502" s="7" t="s">
        <v>348</v>
      </c>
      <c r="C502" s="19"/>
      <c r="D502" s="8">
        <v>20.239999999999998</v>
      </c>
      <c r="E502" s="43"/>
      <c r="F502" s="9"/>
      <c r="G502" s="10"/>
      <c r="H502" s="7"/>
    </row>
    <row r="503" spans="1:10" x14ac:dyDescent="0.2">
      <c r="A503" s="7"/>
      <c r="B503" s="7" t="s">
        <v>711</v>
      </c>
      <c r="C503" s="7" t="s">
        <v>712</v>
      </c>
      <c r="D503" s="8">
        <v>41.8</v>
      </c>
      <c r="E503" s="43"/>
      <c r="F503" s="9"/>
      <c r="G503" s="10"/>
      <c r="H503" s="7"/>
    </row>
    <row r="504" spans="1:10" x14ac:dyDescent="0.2">
      <c r="A504" s="7">
        <v>3713</v>
      </c>
      <c r="B504" s="7" t="s">
        <v>318</v>
      </c>
      <c r="C504" s="19" t="s">
        <v>303</v>
      </c>
      <c r="D504" s="8">
        <v>76.150000000000006</v>
      </c>
      <c r="E504" s="43"/>
      <c r="F504" s="9"/>
      <c r="G504" s="36">
        <f>D504*(1-F504)</f>
        <v>76.150000000000006</v>
      </c>
      <c r="H504" s="7">
        <v>71</v>
      </c>
    </row>
    <row r="505" spans="1:10" x14ac:dyDescent="0.2">
      <c r="A505" s="7">
        <v>1841</v>
      </c>
      <c r="B505" s="7" t="s">
        <v>362</v>
      </c>
      <c r="C505" s="7"/>
      <c r="D505" s="8">
        <v>75.63</v>
      </c>
      <c r="E505" s="43">
        <v>85</v>
      </c>
      <c r="F505" s="9">
        <v>0.25</v>
      </c>
      <c r="G505" s="10">
        <v>75.63</v>
      </c>
      <c r="H505" s="7">
        <v>92.52</v>
      </c>
      <c r="I505">
        <v>68.3</v>
      </c>
    </row>
    <row r="506" spans="1:10" x14ac:dyDescent="0.2">
      <c r="A506" s="7">
        <v>2223</v>
      </c>
      <c r="B506" s="7" t="s">
        <v>345</v>
      </c>
      <c r="C506" s="19" t="s">
        <v>303</v>
      </c>
      <c r="D506" s="8">
        <v>75.34</v>
      </c>
      <c r="E506" s="43"/>
      <c r="F506" s="9">
        <v>0.22</v>
      </c>
      <c r="G506" s="10">
        <v>78.66</v>
      </c>
      <c r="H506" s="7"/>
      <c r="J506" t="s">
        <v>552</v>
      </c>
    </row>
    <row r="507" spans="1:10" x14ac:dyDescent="0.2">
      <c r="A507" s="7">
        <v>2214</v>
      </c>
      <c r="B507" s="7" t="s">
        <v>324</v>
      </c>
      <c r="C507" s="7" t="s">
        <v>303</v>
      </c>
      <c r="D507" s="37">
        <v>75.63</v>
      </c>
      <c r="E507" s="44">
        <v>85</v>
      </c>
      <c r="F507" s="9"/>
      <c r="G507" s="10">
        <v>75.63</v>
      </c>
      <c r="H507" s="7">
        <v>73</v>
      </c>
      <c r="I507">
        <v>68.3</v>
      </c>
    </row>
    <row r="508" spans="1:10" x14ac:dyDescent="0.2">
      <c r="A508" s="7"/>
      <c r="B508" s="7" t="s">
        <v>693</v>
      </c>
      <c r="C508" s="19"/>
      <c r="D508" s="8">
        <v>17.93</v>
      </c>
      <c r="E508" s="43"/>
      <c r="F508" s="9"/>
      <c r="G508" s="10"/>
      <c r="H508" s="7"/>
    </row>
    <row r="509" spans="1:10" x14ac:dyDescent="0.2">
      <c r="A509" s="7"/>
      <c r="B509" s="7" t="s">
        <v>707</v>
      </c>
      <c r="C509" s="19"/>
      <c r="D509" s="8">
        <v>61.56</v>
      </c>
      <c r="E509" s="43"/>
      <c r="F509" s="9"/>
      <c r="G509" s="10"/>
      <c r="H509" s="7"/>
    </row>
    <row r="510" spans="1:10" x14ac:dyDescent="0.2">
      <c r="A510" s="7"/>
      <c r="B510" s="7" t="s">
        <v>706</v>
      </c>
      <c r="C510" s="19"/>
      <c r="D510" s="8">
        <v>49.44</v>
      </c>
      <c r="E510" s="43"/>
      <c r="F510" s="9"/>
      <c r="G510" s="10"/>
      <c r="H510" s="7"/>
    </row>
    <row r="511" spans="1:10" x14ac:dyDescent="0.2">
      <c r="A511" s="7"/>
      <c r="B511" s="7" t="s">
        <v>553</v>
      </c>
      <c r="C511" s="19" t="s">
        <v>554</v>
      </c>
      <c r="D511" s="37">
        <v>78.2</v>
      </c>
      <c r="E511" s="44"/>
      <c r="F511" s="9"/>
      <c r="G511" s="36"/>
      <c r="H511" s="7"/>
    </row>
    <row r="512" spans="1:10" x14ac:dyDescent="0.2">
      <c r="A512" s="7">
        <v>2097</v>
      </c>
      <c r="B512" s="7" t="s">
        <v>296</v>
      </c>
      <c r="C512" s="19" t="s">
        <v>297</v>
      </c>
      <c r="D512" s="37">
        <v>172</v>
      </c>
      <c r="E512" s="44"/>
      <c r="F512" s="9"/>
      <c r="G512" s="36">
        <f>D512*(1-F512)</f>
        <v>172</v>
      </c>
      <c r="H512" s="7"/>
    </row>
    <row r="513" spans="1:10" x14ac:dyDescent="0.2">
      <c r="A513" s="7"/>
      <c r="B513" s="7" t="s">
        <v>604</v>
      </c>
      <c r="C513" s="19" t="s">
        <v>462</v>
      </c>
      <c r="D513" s="37">
        <v>57</v>
      </c>
      <c r="E513" s="44"/>
      <c r="F513" s="9"/>
      <c r="G513" s="36"/>
      <c r="H513" s="7"/>
    </row>
    <row r="514" spans="1:10" x14ac:dyDescent="0.2">
      <c r="A514" s="7">
        <v>2181</v>
      </c>
      <c r="B514" s="7" t="s">
        <v>500</v>
      </c>
      <c r="C514" s="19"/>
      <c r="D514" s="37">
        <v>108</v>
      </c>
      <c r="E514" s="44">
        <v>123.6</v>
      </c>
      <c r="F514" s="9">
        <v>0.1</v>
      </c>
      <c r="G514" s="36">
        <v>108</v>
      </c>
      <c r="H514" s="7"/>
    </row>
    <row r="515" spans="1:10" x14ac:dyDescent="0.2">
      <c r="A515" s="7">
        <v>1822</v>
      </c>
      <c r="B515" s="7" t="s">
        <v>325</v>
      </c>
      <c r="C515" s="7"/>
      <c r="D515" s="8">
        <v>24.62</v>
      </c>
      <c r="E515" s="43"/>
      <c r="F515" s="9">
        <v>0.05</v>
      </c>
      <c r="G515" s="10">
        <v>25.92</v>
      </c>
      <c r="H515" s="7"/>
    </row>
    <row r="516" spans="1:10" x14ac:dyDescent="0.2">
      <c r="A516" s="7">
        <v>9422</v>
      </c>
      <c r="B516" s="7" t="s">
        <v>300</v>
      </c>
      <c r="C516" s="19" t="s">
        <v>297</v>
      </c>
      <c r="D516" s="8">
        <v>48.48</v>
      </c>
      <c r="E516" s="43"/>
      <c r="F516" s="9">
        <v>0.1</v>
      </c>
      <c r="G516" s="10">
        <v>50.73</v>
      </c>
      <c r="H516" s="7">
        <v>46</v>
      </c>
      <c r="I516">
        <v>46.73</v>
      </c>
    </row>
    <row r="517" spans="1:10" x14ac:dyDescent="0.2">
      <c r="A517" s="7">
        <v>17883</v>
      </c>
      <c r="B517" s="7" t="s">
        <v>361</v>
      </c>
      <c r="C517" s="19" t="s">
        <v>297</v>
      </c>
      <c r="D517" s="8">
        <v>48.51</v>
      </c>
      <c r="E517" s="43"/>
      <c r="F517" s="9">
        <v>0.1</v>
      </c>
      <c r="G517" s="10">
        <v>43.66</v>
      </c>
      <c r="H517" s="7"/>
    </row>
    <row r="518" spans="1:10" x14ac:dyDescent="0.2">
      <c r="A518" s="7">
        <v>16628</v>
      </c>
      <c r="B518" s="7" t="s">
        <v>321</v>
      </c>
      <c r="C518" s="7" t="s">
        <v>297</v>
      </c>
      <c r="D518" s="8">
        <v>45.61</v>
      </c>
      <c r="E518" s="43"/>
      <c r="F518" s="9">
        <v>0.18</v>
      </c>
      <c r="G518" s="10">
        <v>47.43</v>
      </c>
      <c r="H518" s="7"/>
      <c r="I518">
        <v>43.01</v>
      </c>
      <c r="J518" t="s">
        <v>469</v>
      </c>
    </row>
    <row r="519" spans="1:10" x14ac:dyDescent="0.2">
      <c r="A519" s="7">
        <v>1607</v>
      </c>
      <c r="B519" s="7" t="s">
        <v>301</v>
      </c>
      <c r="C519" s="19" t="s">
        <v>297</v>
      </c>
      <c r="D519" s="8">
        <v>38.24</v>
      </c>
      <c r="E519" s="43"/>
      <c r="F519" s="9"/>
      <c r="G519" s="10"/>
      <c r="H519" s="7"/>
    </row>
    <row r="520" spans="1:10" x14ac:dyDescent="0.2">
      <c r="A520" s="7">
        <v>1617</v>
      </c>
      <c r="B520" s="7" t="s">
        <v>356</v>
      </c>
      <c r="C520" s="19" t="s">
        <v>329</v>
      </c>
      <c r="D520" s="8">
        <v>6.03</v>
      </c>
      <c r="E520" s="43"/>
      <c r="F520" s="9"/>
      <c r="G520" s="10"/>
      <c r="H520" s="7"/>
      <c r="J520" t="s">
        <v>469</v>
      </c>
    </row>
    <row r="521" spans="1:10" x14ac:dyDescent="0.2">
      <c r="A521" s="7">
        <v>12021</v>
      </c>
      <c r="B521" s="46" t="s">
        <v>359</v>
      </c>
      <c r="C521" s="47" t="s">
        <v>19</v>
      </c>
      <c r="D521" s="24">
        <v>29</v>
      </c>
      <c r="E521" s="48"/>
      <c r="F521" s="9"/>
      <c r="G521" s="10"/>
      <c r="H521" s="7"/>
    </row>
    <row r="522" spans="1:10" x14ac:dyDescent="0.2">
      <c r="A522" s="7">
        <v>16709</v>
      </c>
      <c r="B522" s="7" t="s">
        <v>347</v>
      </c>
      <c r="C522" s="7" t="s">
        <v>297</v>
      </c>
      <c r="D522" s="8">
        <v>41.76</v>
      </c>
      <c r="E522" s="43"/>
      <c r="F522" s="9"/>
      <c r="G522" s="10">
        <f>D522*(1-F522)</f>
        <v>41.76</v>
      </c>
      <c r="H522" s="7">
        <v>62.024999999999999</v>
      </c>
    </row>
    <row r="523" spans="1:10" x14ac:dyDescent="0.2">
      <c r="A523" s="7"/>
      <c r="B523" s="7" t="s">
        <v>655</v>
      </c>
      <c r="C523" s="19" t="s">
        <v>646</v>
      </c>
      <c r="D523" s="8"/>
      <c r="E523" s="43"/>
      <c r="F523" s="9"/>
      <c r="G523" s="10">
        <v>63</v>
      </c>
      <c r="H523" s="7"/>
    </row>
    <row r="524" spans="1:10" x14ac:dyDescent="0.2">
      <c r="A524" s="7"/>
      <c r="B524" s="7" t="s">
        <v>654</v>
      </c>
      <c r="C524" s="7" t="s">
        <v>20</v>
      </c>
      <c r="D524" s="8"/>
      <c r="E524" s="43"/>
      <c r="F524" s="9"/>
      <c r="G524" s="10">
        <v>31.5</v>
      </c>
      <c r="H524" s="7"/>
    </row>
    <row r="525" spans="1:10" x14ac:dyDescent="0.2">
      <c r="A525" s="7"/>
      <c r="B525" s="7" t="s">
        <v>746</v>
      </c>
      <c r="C525" s="19" t="s">
        <v>297</v>
      </c>
      <c r="D525" s="8"/>
      <c r="E525" s="43"/>
      <c r="F525" s="9">
        <v>0.15</v>
      </c>
      <c r="G525" s="10">
        <v>40.840000000000003</v>
      </c>
      <c r="H525" s="7"/>
    </row>
    <row r="526" spans="1:10" x14ac:dyDescent="0.2">
      <c r="A526" s="7">
        <v>17838</v>
      </c>
      <c r="B526" s="7" t="s">
        <v>745</v>
      </c>
      <c r="C526" s="19"/>
      <c r="D526" s="8"/>
      <c r="E526" s="43"/>
      <c r="F526" s="9"/>
      <c r="G526" s="10">
        <v>30.63</v>
      </c>
      <c r="H526" s="7"/>
    </row>
    <row r="527" spans="1:10" x14ac:dyDescent="0.2">
      <c r="A527" s="7"/>
      <c r="B527" s="27" t="s">
        <v>704</v>
      </c>
      <c r="C527" s="7"/>
      <c r="D527" s="8">
        <v>44.99</v>
      </c>
      <c r="E527" s="43"/>
      <c r="F527" s="9"/>
      <c r="G527" s="10">
        <v>49.99</v>
      </c>
      <c r="H527" s="7"/>
    </row>
    <row r="528" spans="1:10" x14ac:dyDescent="0.2">
      <c r="A528" s="7">
        <v>2449</v>
      </c>
      <c r="B528" s="7" t="s">
        <v>302</v>
      </c>
      <c r="C528" s="19" t="s">
        <v>297</v>
      </c>
      <c r="D528" s="8">
        <v>50.34</v>
      </c>
      <c r="E528" s="43"/>
      <c r="F528" s="9">
        <v>0.18</v>
      </c>
      <c r="G528" s="10">
        <v>52.36</v>
      </c>
      <c r="H528" s="7">
        <v>37.85</v>
      </c>
      <c r="I528">
        <v>47.47</v>
      </c>
    </row>
    <row r="529" spans="1:8" x14ac:dyDescent="0.2">
      <c r="A529" s="7">
        <v>1747</v>
      </c>
      <c r="B529" s="7" t="s">
        <v>338</v>
      </c>
      <c r="C529" s="19" t="s">
        <v>297</v>
      </c>
      <c r="D529" s="8">
        <v>54.98</v>
      </c>
      <c r="E529" s="43"/>
      <c r="F529" s="9">
        <v>0.1</v>
      </c>
      <c r="G529" s="10">
        <f>D529*(1-F529)</f>
        <v>49.481999999999999</v>
      </c>
      <c r="H529" s="7"/>
    </row>
    <row r="530" spans="1:8" x14ac:dyDescent="0.2">
      <c r="A530" s="7">
        <v>16627</v>
      </c>
      <c r="B530" s="7" t="s">
        <v>320</v>
      </c>
      <c r="C530" s="7" t="s">
        <v>297</v>
      </c>
      <c r="D530" s="8">
        <v>60.17</v>
      </c>
      <c r="E530" s="43"/>
      <c r="F530" s="9">
        <v>0.1</v>
      </c>
      <c r="G530" s="10">
        <v>60.17</v>
      </c>
      <c r="H530" s="7">
        <v>51.96</v>
      </c>
    </row>
    <row r="531" spans="1:8" x14ac:dyDescent="0.2">
      <c r="A531" s="7">
        <v>9736</v>
      </c>
      <c r="B531" s="7" t="s">
        <v>299</v>
      </c>
      <c r="C531" s="19" t="s">
        <v>297</v>
      </c>
      <c r="D531" s="8">
        <v>51.1</v>
      </c>
      <c r="E531" s="43"/>
      <c r="F531" s="9"/>
      <c r="G531" s="10"/>
      <c r="H531" s="7"/>
    </row>
    <row r="532" spans="1:8" x14ac:dyDescent="0.2">
      <c r="A532" s="7"/>
      <c r="B532" s="7" t="s">
        <v>669</v>
      </c>
      <c r="C532" s="19"/>
      <c r="D532" s="8"/>
      <c r="E532" s="43"/>
      <c r="F532" s="9"/>
      <c r="G532" s="10">
        <v>10.9</v>
      </c>
      <c r="H532" s="7"/>
    </row>
    <row r="533" spans="1:8" x14ac:dyDescent="0.2">
      <c r="A533" s="7"/>
      <c r="B533" s="7" t="s">
        <v>668</v>
      </c>
      <c r="C533" s="19" t="s">
        <v>20</v>
      </c>
      <c r="D533" s="37"/>
      <c r="E533" s="44"/>
      <c r="F533" s="9"/>
      <c r="G533" s="36">
        <v>12.6</v>
      </c>
      <c r="H533" s="7"/>
    </row>
    <row r="534" spans="1:8" x14ac:dyDescent="0.2">
      <c r="A534" s="7">
        <v>9357</v>
      </c>
      <c r="B534" s="7" t="s">
        <v>326</v>
      </c>
      <c r="C534" s="19" t="s">
        <v>462</v>
      </c>
      <c r="D534" s="37">
        <v>94.78</v>
      </c>
      <c r="E534" s="44"/>
      <c r="F534" s="9"/>
      <c r="G534" s="10"/>
      <c r="H534" s="7">
        <v>89.84</v>
      </c>
    </row>
    <row r="535" spans="1:8" x14ac:dyDescent="0.2">
      <c r="A535" s="7">
        <v>1359</v>
      </c>
      <c r="B535" s="7" t="s">
        <v>319</v>
      </c>
      <c r="C535" s="19" t="s">
        <v>297</v>
      </c>
      <c r="D535" s="8">
        <v>67.75</v>
      </c>
      <c r="E535" s="43"/>
      <c r="F535" s="9"/>
      <c r="G535" s="10"/>
      <c r="H535" s="7"/>
    </row>
    <row r="536" spans="1:8" x14ac:dyDescent="0.2">
      <c r="A536" s="7">
        <v>1780</v>
      </c>
      <c r="B536" s="7" t="s">
        <v>351</v>
      </c>
      <c r="C536" s="19" t="s">
        <v>297</v>
      </c>
      <c r="D536" s="8">
        <v>15.9</v>
      </c>
      <c r="E536" s="43"/>
      <c r="F536" s="9"/>
      <c r="G536" s="10"/>
      <c r="H536" s="7"/>
    </row>
    <row r="537" spans="1:8" x14ac:dyDescent="0.2">
      <c r="A537" s="23"/>
      <c r="B537" s="23"/>
      <c r="C537" s="23"/>
      <c r="D537" s="24"/>
      <c r="E537" s="24"/>
      <c r="F537" s="25"/>
      <c r="G537" s="26"/>
      <c r="H537" s="23"/>
    </row>
    <row r="538" spans="1:8" ht="18" hidden="1" x14ac:dyDescent="0.25">
      <c r="A538" s="11" t="s">
        <v>368</v>
      </c>
    </row>
    <row r="539" spans="1:8" hidden="1" x14ac:dyDescent="0.2">
      <c r="A539" s="1"/>
    </row>
    <row r="540" spans="1:8" s="16" customFormat="1" ht="15" hidden="1" x14ac:dyDescent="0.25">
      <c r="A540" s="12" t="s">
        <v>0</v>
      </c>
      <c r="B540" s="12" t="s">
        <v>1</v>
      </c>
      <c r="C540" s="12" t="s">
        <v>19</v>
      </c>
      <c r="D540" s="13" t="s">
        <v>424</v>
      </c>
      <c r="E540" s="13"/>
      <c r="F540" s="14" t="s">
        <v>113</v>
      </c>
      <c r="G540" s="15" t="s">
        <v>425</v>
      </c>
      <c r="H540" s="12" t="s">
        <v>426</v>
      </c>
    </row>
    <row r="541" spans="1:8" ht="15" hidden="1" x14ac:dyDescent="0.25">
      <c r="A541" s="7">
        <v>2194005</v>
      </c>
      <c r="B541" s="7" t="s">
        <v>387</v>
      </c>
      <c r="C541" s="31" t="s">
        <v>20</v>
      </c>
      <c r="D541" s="32">
        <v>26</v>
      </c>
      <c r="E541" s="32"/>
      <c r="F541" s="33">
        <v>8.6999999999999994E-2</v>
      </c>
      <c r="G541" s="34">
        <v>23.74</v>
      </c>
      <c r="H541" s="12"/>
    </row>
    <row r="542" spans="1:8" hidden="1" x14ac:dyDescent="0.2">
      <c r="A542" s="7">
        <v>3185000</v>
      </c>
      <c r="B542" s="7" t="s">
        <v>384</v>
      </c>
      <c r="C542" s="7" t="s">
        <v>20</v>
      </c>
      <c r="D542" s="8">
        <v>26</v>
      </c>
      <c r="E542" s="8"/>
      <c r="F542" s="21">
        <v>9.1999999999999998E-2</v>
      </c>
      <c r="G542" s="10">
        <f>D542*(1-F542)</f>
        <v>23.608000000000001</v>
      </c>
      <c r="H542" s="7"/>
    </row>
    <row r="543" spans="1:8" hidden="1" x14ac:dyDescent="0.2">
      <c r="A543" s="18">
        <v>6186007</v>
      </c>
      <c r="B543" s="7" t="s">
        <v>472</v>
      </c>
      <c r="C543" s="7" t="s">
        <v>19</v>
      </c>
      <c r="D543" s="37">
        <v>37</v>
      </c>
      <c r="E543" s="37"/>
      <c r="F543" s="9">
        <v>0.05</v>
      </c>
      <c r="G543" s="10">
        <f>D543*(1-F543)</f>
        <v>35.15</v>
      </c>
      <c r="H543" s="7">
        <v>34.4</v>
      </c>
    </row>
    <row r="544" spans="1:8" hidden="1" x14ac:dyDescent="0.2">
      <c r="A544" s="7">
        <v>4085004</v>
      </c>
      <c r="B544" s="7" t="s">
        <v>442</v>
      </c>
      <c r="C544" s="7" t="s">
        <v>19</v>
      </c>
      <c r="D544" s="8">
        <v>30.1</v>
      </c>
      <c r="E544" s="8"/>
      <c r="F544" s="9">
        <v>0.05</v>
      </c>
      <c r="G544" s="10">
        <f>D544*(1-F544)</f>
        <v>28.594999999999999</v>
      </c>
      <c r="H544" s="7"/>
    </row>
    <row r="545" spans="1:8" hidden="1" x14ac:dyDescent="0.2">
      <c r="A545" s="27"/>
      <c r="B545" s="27" t="s">
        <v>486</v>
      </c>
      <c r="C545" s="27"/>
      <c r="D545" s="8">
        <v>25.8</v>
      </c>
      <c r="E545" s="8"/>
      <c r="F545" s="9">
        <v>0.05</v>
      </c>
      <c r="G545" s="10"/>
      <c r="H545" s="7"/>
    </row>
    <row r="546" spans="1:8" hidden="1" x14ac:dyDescent="0.2">
      <c r="A546" s="7">
        <v>4184005</v>
      </c>
      <c r="B546" s="7" t="s">
        <v>413</v>
      </c>
      <c r="C546" s="7" t="s">
        <v>19</v>
      </c>
      <c r="D546" s="8">
        <v>17</v>
      </c>
      <c r="E546" s="8"/>
      <c r="F546" s="9">
        <v>0.05</v>
      </c>
      <c r="G546" s="10">
        <f t="shared" ref="G546:G561" si="1">D546*(1-F546)</f>
        <v>16.149999999999999</v>
      </c>
      <c r="H546" s="7"/>
    </row>
    <row r="547" spans="1:8" hidden="1" x14ac:dyDescent="0.2">
      <c r="A547" s="7">
        <v>4184013</v>
      </c>
      <c r="B547" s="7" t="s">
        <v>419</v>
      </c>
      <c r="C547" s="7" t="s">
        <v>19</v>
      </c>
      <c r="D547" s="8">
        <v>9.9</v>
      </c>
      <c r="E547" s="8"/>
      <c r="F547" s="9">
        <v>0.05</v>
      </c>
      <c r="G547" s="10">
        <f t="shared" si="1"/>
        <v>9.4049999999999994</v>
      </c>
      <c r="H547" s="7"/>
    </row>
    <row r="548" spans="1:8" hidden="1" x14ac:dyDescent="0.2">
      <c r="A548" s="7">
        <v>4184012</v>
      </c>
      <c r="B548" s="7" t="s">
        <v>405</v>
      </c>
      <c r="C548" s="7" t="s">
        <v>19</v>
      </c>
      <c r="D548" s="8">
        <v>14.3</v>
      </c>
      <c r="E548" s="8"/>
      <c r="F548" s="9">
        <v>0.05</v>
      </c>
      <c r="G548" s="10">
        <f t="shared" si="1"/>
        <v>13.585000000000001</v>
      </c>
      <c r="H548" s="7"/>
    </row>
    <row r="549" spans="1:8" hidden="1" x14ac:dyDescent="0.2">
      <c r="A549" s="7">
        <v>4186010</v>
      </c>
      <c r="B549" s="7" t="s">
        <v>409</v>
      </c>
      <c r="C549" s="7" t="s">
        <v>19</v>
      </c>
      <c r="D549" s="8">
        <v>18.149999999999999</v>
      </c>
      <c r="E549" s="8"/>
      <c r="F549" s="9">
        <v>0.05</v>
      </c>
      <c r="G549" s="10">
        <f t="shared" si="1"/>
        <v>17.242499999999996</v>
      </c>
      <c r="H549" s="7"/>
    </row>
    <row r="550" spans="1:8" hidden="1" x14ac:dyDescent="0.2">
      <c r="A550" s="7">
        <v>4346020</v>
      </c>
      <c r="B550" s="7" t="s">
        <v>407</v>
      </c>
      <c r="C550" s="7" t="s">
        <v>19</v>
      </c>
      <c r="D550" s="8">
        <v>57.5</v>
      </c>
      <c r="E550" s="8"/>
      <c r="F550" s="9">
        <v>0.05</v>
      </c>
      <c r="G550" s="10">
        <f t="shared" si="1"/>
        <v>54.625</v>
      </c>
      <c r="H550" s="7"/>
    </row>
    <row r="551" spans="1:8" hidden="1" x14ac:dyDescent="0.2">
      <c r="A551" s="7">
        <v>4085001</v>
      </c>
      <c r="B551" s="7" t="s">
        <v>416</v>
      </c>
      <c r="C551" s="7" t="s">
        <v>19</v>
      </c>
      <c r="D551" s="8">
        <v>47.5</v>
      </c>
      <c r="E551" s="8"/>
      <c r="F551" s="9">
        <v>0.05</v>
      </c>
      <c r="G551" s="10">
        <f t="shared" si="1"/>
        <v>45.125</v>
      </c>
      <c r="H551" s="7"/>
    </row>
    <row r="552" spans="1:8" hidden="1" x14ac:dyDescent="0.2">
      <c r="A552" s="7">
        <v>3285001</v>
      </c>
      <c r="B552" s="7" t="s">
        <v>415</v>
      </c>
      <c r="C552" s="7" t="s">
        <v>20</v>
      </c>
      <c r="D552" s="8">
        <v>5.5</v>
      </c>
      <c r="E552" s="8"/>
      <c r="F552" s="21">
        <v>0.05</v>
      </c>
      <c r="G552" s="10">
        <f t="shared" si="1"/>
        <v>5.2249999999999996</v>
      </c>
      <c r="H552" s="7"/>
    </row>
    <row r="553" spans="1:8" hidden="1" x14ac:dyDescent="0.2">
      <c r="A553" s="7">
        <v>1044110</v>
      </c>
      <c r="B553" s="7" t="s">
        <v>411</v>
      </c>
      <c r="C553" s="7" t="s">
        <v>19</v>
      </c>
      <c r="D553" s="8">
        <v>47.5</v>
      </c>
      <c r="E553" s="8"/>
      <c r="F553" s="9">
        <v>0.05</v>
      </c>
      <c r="G553" s="10">
        <f t="shared" si="1"/>
        <v>45.125</v>
      </c>
      <c r="H553" s="7"/>
    </row>
    <row r="554" spans="1:8" hidden="1" x14ac:dyDescent="0.2">
      <c r="A554" s="7">
        <v>4085000</v>
      </c>
      <c r="B554" s="7" t="s">
        <v>403</v>
      </c>
      <c r="C554" s="7" t="s">
        <v>20</v>
      </c>
      <c r="D554" s="8">
        <v>9</v>
      </c>
      <c r="E554" s="8"/>
      <c r="F554" s="9">
        <v>0.05</v>
      </c>
      <c r="G554" s="10">
        <f t="shared" si="1"/>
        <v>8.5499999999999989</v>
      </c>
      <c r="H554" s="7"/>
    </row>
    <row r="555" spans="1:8" hidden="1" x14ac:dyDescent="0.2">
      <c r="A555" s="7">
        <v>3185001</v>
      </c>
      <c r="B555" s="7" t="s">
        <v>394</v>
      </c>
      <c r="C555" s="7" t="s">
        <v>20</v>
      </c>
      <c r="D555" s="8">
        <v>4.05</v>
      </c>
      <c r="E555" s="8"/>
      <c r="F555" s="9">
        <v>0.05</v>
      </c>
      <c r="G555" s="10">
        <f t="shared" si="1"/>
        <v>3.8474999999999997</v>
      </c>
      <c r="H555" s="7"/>
    </row>
    <row r="556" spans="1:8" hidden="1" x14ac:dyDescent="0.2">
      <c r="A556" s="7">
        <v>4346020</v>
      </c>
      <c r="B556" s="7" t="s">
        <v>406</v>
      </c>
      <c r="C556" s="7" t="s">
        <v>19</v>
      </c>
      <c r="D556" s="8">
        <v>25.8</v>
      </c>
      <c r="E556" s="8"/>
      <c r="F556" s="9">
        <v>0.05</v>
      </c>
      <c r="G556" s="10">
        <f t="shared" si="1"/>
        <v>24.509999999999998</v>
      </c>
      <c r="H556" s="7" t="s">
        <v>470</v>
      </c>
    </row>
    <row r="557" spans="1:8" hidden="1" x14ac:dyDescent="0.2">
      <c r="A557" s="7">
        <v>4184012</v>
      </c>
      <c r="B557" s="7" t="s">
        <v>404</v>
      </c>
      <c r="C557" s="7" t="s">
        <v>19</v>
      </c>
      <c r="D557" s="8">
        <v>57.5</v>
      </c>
      <c r="E557" s="8"/>
      <c r="F557" s="9">
        <v>0.05</v>
      </c>
      <c r="G557" s="10">
        <f t="shared" si="1"/>
        <v>54.625</v>
      </c>
      <c r="H557" s="7" t="s">
        <v>470</v>
      </c>
    </row>
    <row r="558" spans="1:8" hidden="1" x14ac:dyDescent="0.2">
      <c r="A558" s="7">
        <v>3345006</v>
      </c>
      <c r="B558" s="7" t="s">
        <v>417</v>
      </c>
      <c r="C558" s="7" t="s">
        <v>19</v>
      </c>
      <c r="D558" s="8">
        <v>14.3</v>
      </c>
      <c r="E558" s="8"/>
      <c r="F558" s="9">
        <v>0.05</v>
      </c>
      <c r="G558" s="10">
        <f t="shared" si="1"/>
        <v>13.585000000000001</v>
      </c>
      <c r="H558" s="7" t="s">
        <v>470</v>
      </c>
    </row>
    <row r="559" spans="1:8" hidden="1" x14ac:dyDescent="0.2">
      <c r="A559" s="7">
        <v>2554001</v>
      </c>
      <c r="B559" s="7" t="s">
        <v>379</v>
      </c>
      <c r="C559" s="7" t="s">
        <v>19</v>
      </c>
      <c r="D559" s="8">
        <v>27.9</v>
      </c>
      <c r="E559" s="8"/>
      <c r="F559" s="9">
        <v>0.05</v>
      </c>
      <c r="G559" s="35">
        <f t="shared" si="1"/>
        <v>26.504999999999999</v>
      </c>
      <c r="H559" s="7"/>
    </row>
    <row r="560" spans="1:8" hidden="1" x14ac:dyDescent="0.2">
      <c r="A560" s="7">
        <v>2094004</v>
      </c>
      <c r="B560" s="7" t="s">
        <v>439</v>
      </c>
      <c r="C560" s="7" t="s">
        <v>20</v>
      </c>
      <c r="D560" s="8">
        <v>26</v>
      </c>
      <c r="E560" s="8"/>
      <c r="F560" s="21">
        <v>7.9000000000000001E-2</v>
      </c>
      <c r="G560" s="10">
        <f t="shared" si="1"/>
        <v>23.946000000000002</v>
      </c>
      <c r="H560" s="7"/>
    </row>
    <row r="561" spans="1:9" hidden="1" x14ac:dyDescent="0.2">
      <c r="A561" s="7">
        <v>1144023</v>
      </c>
      <c r="B561" s="7" t="s">
        <v>562</v>
      </c>
      <c r="C561" s="7" t="s">
        <v>20</v>
      </c>
      <c r="D561" s="8">
        <v>18.2</v>
      </c>
      <c r="E561" s="8"/>
      <c r="F561" s="9">
        <v>0.05</v>
      </c>
      <c r="G561" s="10">
        <f t="shared" si="1"/>
        <v>17.29</v>
      </c>
      <c r="H561" s="7"/>
    </row>
    <row r="562" spans="1:9" hidden="1" x14ac:dyDescent="0.2">
      <c r="A562" s="7">
        <v>1144023</v>
      </c>
      <c r="B562" s="7" t="s">
        <v>502</v>
      </c>
      <c r="C562" s="7" t="s">
        <v>20</v>
      </c>
      <c r="D562" s="8">
        <v>18.2</v>
      </c>
      <c r="E562" s="8"/>
      <c r="F562" s="9">
        <v>0.05</v>
      </c>
      <c r="G562" s="10">
        <f>D562*(1-F562)</f>
        <v>17.29</v>
      </c>
      <c r="H562" s="7"/>
    </row>
    <row r="563" spans="1:9" hidden="1" x14ac:dyDescent="0.2">
      <c r="A563" s="27">
        <v>5245002</v>
      </c>
      <c r="B563" s="27" t="s">
        <v>466</v>
      </c>
      <c r="C563" s="27" t="s">
        <v>19</v>
      </c>
      <c r="D563" s="8">
        <v>21.6</v>
      </c>
      <c r="E563" s="8"/>
      <c r="F563" s="9">
        <v>0.05</v>
      </c>
      <c r="G563" s="36">
        <v>20.52</v>
      </c>
      <c r="H563" s="7"/>
    </row>
    <row r="564" spans="1:9" hidden="1" x14ac:dyDescent="0.2">
      <c r="A564" s="27">
        <v>1645012</v>
      </c>
      <c r="B564" s="27" t="s">
        <v>497</v>
      </c>
      <c r="C564" s="27" t="s">
        <v>20</v>
      </c>
      <c r="D564" s="37">
        <v>23.5</v>
      </c>
      <c r="E564" s="37"/>
      <c r="F564" s="9">
        <v>0.05</v>
      </c>
      <c r="G564" s="36">
        <v>22.32</v>
      </c>
      <c r="H564" s="7">
        <v>20</v>
      </c>
    </row>
    <row r="565" spans="1:9" hidden="1" x14ac:dyDescent="0.2">
      <c r="A565" s="27">
        <v>5244002</v>
      </c>
      <c r="B565" s="27" t="s">
        <v>534</v>
      </c>
      <c r="C565" s="27" t="s">
        <v>20</v>
      </c>
      <c r="D565" s="8">
        <v>7</v>
      </c>
      <c r="E565" s="8"/>
      <c r="F565" s="9">
        <v>0.05</v>
      </c>
      <c r="G565" s="36">
        <v>6.65</v>
      </c>
      <c r="H565" s="7"/>
    </row>
    <row r="566" spans="1:9" hidden="1" x14ac:dyDescent="0.2">
      <c r="A566" s="27">
        <v>1644011</v>
      </c>
      <c r="B566" s="27" t="s">
        <v>440</v>
      </c>
      <c r="C566" s="27" t="s">
        <v>19</v>
      </c>
      <c r="D566" s="8">
        <v>18</v>
      </c>
      <c r="E566" s="8"/>
      <c r="F566" s="9">
        <v>0.05</v>
      </c>
      <c r="G566" s="10">
        <v>17.100000000000001</v>
      </c>
      <c r="H566" s="7">
        <v>15.5</v>
      </c>
    </row>
    <row r="567" spans="1:9" hidden="1" x14ac:dyDescent="0.2">
      <c r="A567" s="27">
        <v>1745054</v>
      </c>
      <c r="B567" s="27" t="s">
        <v>433</v>
      </c>
      <c r="C567" s="7" t="s">
        <v>20</v>
      </c>
      <c r="D567" s="8">
        <v>30</v>
      </c>
      <c r="E567" s="8"/>
      <c r="F567" s="9">
        <v>0.05</v>
      </c>
      <c r="G567" s="10">
        <f>D567*(1-F567)</f>
        <v>28.5</v>
      </c>
      <c r="H567" s="7"/>
    </row>
    <row r="568" spans="1:9" hidden="1" x14ac:dyDescent="0.2">
      <c r="A568" s="27">
        <v>5245005</v>
      </c>
      <c r="B568" s="27" t="s">
        <v>444</v>
      </c>
      <c r="C568" s="27" t="s">
        <v>19</v>
      </c>
      <c r="D568" s="8">
        <v>32</v>
      </c>
      <c r="E568" s="8"/>
      <c r="F568" s="9">
        <v>0.05</v>
      </c>
      <c r="G568" s="36">
        <v>30.4</v>
      </c>
      <c r="H568" s="7">
        <v>29.5</v>
      </c>
    </row>
    <row r="569" spans="1:9" hidden="1" x14ac:dyDescent="0.2">
      <c r="A569" s="7">
        <v>3345004</v>
      </c>
      <c r="B569" s="7" t="s">
        <v>488</v>
      </c>
      <c r="C569" s="7" t="s">
        <v>20</v>
      </c>
      <c r="D569" s="8">
        <v>11.5</v>
      </c>
      <c r="E569" s="8"/>
      <c r="F569" s="9">
        <v>0.05</v>
      </c>
      <c r="G569" s="36">
        <f>D569*(1-F569)</f>
        <v>10.924999999999999</v>
      </c>
      <c r="H569" s="7"/>
    </row>
    <row r="570" spans="1:9" hidden="1" x14ac:dyDescent="0.2">
      <c r="A570" s="7">
        <v>3345005</v>
      </c>
      <c r="B570" s="7" t="s">
        <v>489</v>
      </c>
      <c r="C570" s="7" t="s">
        <v>20</v>
      </c>
      <c r="D570" s="8">
        <v>11.5</v>
      </c>
      <c r="E570" s="8"/>
      <c r="F570" s="9">
        <v>0.05</v>
      </c>
      <c r="G570" s="36">
        <f>D570*(1-F570)</f>
        <v>10.924999999999999</v>
      </c>
      <c r="H570" s="7"/>
      <c r="I570" t="s">
        <v>552</v>
      </c>
    </row>
    <row r="571" spans="1:9" hidden="1" x14ac:dyDescent="0.2">
      <c r="A571" s="7">
        <v>3345000</v>
      </c>
      <c r="B571" s="7" t="s">
        <v>487</v>
      </c>
      <c r="C571" s="7" t="s">
        <v>20</v>
      </c>
      <c r="D571" s="8">
        <v>11.5</v>
      </c>
      <c r="E571" s="8"/>
      <c r="F571" s="9">
        <v>0.05</v>
      </c>
      <c r="G571" s="10">
        <f>D571*(1-F571)</f>
        <v>10.924999999999999</v>
      </c>
      <c r="H571" s="7"/>
    </row>
    <row r="572" spans="1:9" ht="12" hidden="1" customHeight="1" x14ac:dyDescent="0.2">
      <c r="A572" s="7">
        <v>1745061</v>
      </c>
      <c r="B572" s="7" t="s">
        <v>511</v>
      </c>
      <c r="C572" s="7" t="s">
        <v>20</v>
      </c>
      <c r="D572" s="8">
        <v>25.9</v>
      </c>
      <c r="E572" s="8"/>
      <c r="F572" s="9">
        <v>0.11</v>
      </c>
      <c r="G572" s="10">
        <f>D572*(1-F572)</f>
        <v>23.050999999999998</v>
      </c>
      <c r="H572" s="7"/>
    </row>
    <row r="573" spans="1:9" hidden="1" x14ac:dyDescent="0.2">
      <c r="A573" s="7">
        <v>1644011</v>
      </c>
      <c r="B573" s="7" t="s">
        <v>376</v>
      </c>
      <c r="C573" s="27" t="s">
        <v>20</v>
      </c>
      <c r="D573" s="8">
        <v>34.299999999999997</v>
      </c>
      <c r="E573" s="8"/>
      <c r="F573" s="9">
        <v>0.05</v>
      </c>
      <c r="G573" s="10">
        <v>32.58</v>
      </c>
      <c r="H573" s="7">
        <v>31.2</v>
      </c>
    </row>
    <row r="574" spans="1:9" hidden="1" x14ac:dyDescent="0.2">
      <c r="A574" s="7">
        <v>1644011</v>
      </c>
      <c r="B574" s="7" t="s">
        <v>471</v>
      </c>
      <c r="C574" s="7" t="s">
        <v>19</v>
      </c>
      <c r="D574" s="8">
        <v>18</v>
      </c>
      <c r="E574" s="8"/>
      <c r="F574" s="9">
        <v>0.05</v>
      </c>
      <c r="G574" s="36">
        <f t="shared" ref="G574:G600" si="2">D574*(1-F574)</f>
        <v>17.099999999999998</v>
      </c>
      <c r="H574" s="7" t="s">
        <v>578</v>
      </c>
    </row>
    <row r="575" spans="1:9" hidden="1" x14ac:dyDescent="0.2">
      <c r="A575" s="7">
        <v>1044108</v>
      </c>
      <c r="B575" s="7" t="s">
        <v>564</v>
      </c>
      <c r="C575" s="7" t="s">
        <v>20</v>
      </c>
      <c r="D575" s="8">
        <v>32.6</v>
      </c>
      <c r="E575" s="8"/>
      <c r="F575" s="9">
        <v>0.05</v>
      </c>
      <c r="G575" s="36">
        <f t="shared" si="2"/>
        <v>30.97</v>
      </c>
      <c r="H575" s="7"/>
    </row>
    <row r="576" spans="1:9" hidden="1" x14ac:dyDescent="0.2">
      <c r="A576" s="7">
        <v>1044125</v>
      </c>
      <c r="B576" s="7" t="s">
        <v>385</v>
      </c>
      <c r="C576" s="7" t="s">
        <v>19</v>
      </c>
      <c r="D576" s="8">
        <v>20</v>
      </c>
      <c r="E576" s="8"/>
      <c r="F576" s="9">
        <v>0.05</v>
      </c>
      <c r="G576" s="10">
        <f t="shared" si="2"/>
        <v>19</v>
      </c>
      <c r="H576" s="7">
        <v>18.5</v>
      </c>
    </row>
    <row r="577" spans="1:8" hidden="1" x14ac:dyDescent="0.2">
      <c r="A577" s="7">
        <v>1744053</v>
      </c>
      <c r="B577" s="7" t="s">
        <v>402</v>
      </c>
      <c r="C577" s="7" t="s">
        <v>19</v>
      </c>
      <c r="D577" s="8">
        <v>25.75</v>
      </c>
      <c r="E577" s="8"/>
      <c r="F577" s="9">
        <v>0.05</v>
      </c>
      <c r="G577" s="10">
        <f t="shared" si="2"/>
        <v>24.462499999999999</v>
      </c>
      <c r="H577" s="7"/>
    </row>
    <row r="578" spans="1:8" hidden="1" x14ac:dyDescent="0.2">
      <c r="A578" s="7">
        <v>1044106</v>
      </c>
      <c r="B578" s="7" t="s">
        <v>399</v>
      </c>
      <c r="C578" s="7" t="s">
        <v>20</v>
      </c>
      <c r="D578" s="8">
        <v>20.64</v>
      </c>
      <c r="E578" s="8"/>
      <c r="F578" s="9">
        <v>0.05</v>
      </c>
      <c r="G578" s="10">
        <f t="shared" si="2"/>
        <v>19.608000000000001</v>
      </c>
      <c r="H578" s="7"/>
    </row>
    <row r="579" spans="1:8" hidden="1" x14ac:dyDescent="0.2">
      <c r="A579" s="7">
        <v>4184005</v>
      </c>
      <c r="B579" s="7" t="s">
        <v>412</v>
      </c>
      <c r="C579" s="7" t="s">
        <v>20</v>
      </c>
      <c r="D579" s="8">
        <v>30.1</v>
      </c>
      <c r="E579" s="8"/>
      <c r="F579" s="9">
        <v>0.05</v>
      </c>
      <c r="G579" s="10">
        <f t="shared" si="2"/>
        <v>28.594999999999999</v>
      </c>
      <c r="H579" s="7"/>
    </row>
    <row r="580" spans="1:8" hidden="1" x14ac:dyDescent="0.2">
      <c r="A580" s="7">
        <v>1044116</v>
      </c>
      <c r="B580" s="7" t="s">
        <v>565</v>
      </c>
      <c r="C580" s="7" t="s">
        <v>20</v>
      </c>
      <c r="D580" s="8">
        <v>38.4</v>
      </c>
      <c r="E580" s="8"/>
      <c r="F580" s="9">
        <v>0.05</v>
      </c>
      <c r="G580" s="10">
        <f t="shared" si="2"/>
        <v>36.479999999999997</v>
      </c>
      <c r="H580" s="7"/>
    </row>
    <row r="581" spans="1:8" hidden="1" x14ac:dyDescent="0.2">
      <c r="A581" s="7">
        <v>1844106</v>
      </c>
      <c r="B581" s="7" t="s">
        <v>390</v>
      </c>
      <c r="C581" s="7" t="s">
        <v>19</v>
      </c>
      <c r="D581" s="8">
        <v>17</v>
      </c>
      <c r="E581" s="8"/>
      <c r="F581" s="9">
        <v>0.05</v>
      </c>
      <c r="G581" s="10">
        <f t="shared" si="2"/>
        <v>16.149999999999999</v>
      </c>
      <c r="H581" s="7"/>
    </row>
    <row r="582" spans="1:8" hidden="1" x14ac:dyDescent="0.2">
      <c r="A582" s="7">
        <v>1044107</v>
      </c>
      <c r="B582" s="7" t="s">
        <v>371</v>
      </c>
      <c r="C582" s="7" t="s">
        <v>20</v>
      </c>
      <c r="D582" s="8">
        <v>30.1</v>
      </c>
      <c r="E582" s="8"/>
      <c r="F582" s="9">
        <v>0.05</v>
      </c>
      <c r="G582" s="10">
        <f t="shared" si="2"/>
        <v>28.594999999999999</v>
      </c>
      <c r="H582" s="7"/>
    </row>
    <row r="583" spans="1:8" hidden="1" x14ac:dyDescent="0.2">
      <c r="A583" s="7">
        <v>1844107</v>
      </c>
      <c r="B583" s="7" t="s">
        <v>373</v>
      </c>
      <c r="C583" s="7" t="s">
        <v>20</v>
      </c>
      <c r="D583" s="8">
        <v>16.2</v>
      </c>
      <c r="E583" s="8"/>
      <c r="F583" s="9">
        <v>0.05</v>
      </c>
      <c r="G583" s="10">
        <f t="shared" si="2"/>
        <v>15.389999999999999</v>
      </c>
      <c r="H583" s="7"/>
    </row>
    <row r="584" spans="1:8" hidden="1" x14ac:dyDescent="0.2">
      <c r="A584" s="7">
        <v>1244005</v>
      </c>
      <c r="B584" s="7" t="s">
        <v>395</v>
      </c>
      <c r="C584" s="7" t="s">
        <v>20</v>
      </c>
      <c r="D584" s="8">
        <v>18.100000000000001</v>
      </c>
      <c r="E584" s="8"/>
      <c r="F584" s="9">
        <v>0.05</v>
      </c>
      <c r="G584" s="10">
        <f t="shared" si="2"/>
        <v>17.195</v>
      </c>
      <c r="H584" s="7">
        <v>15.3</v>
      </c>
    </row>
    <row r="585" spans="1:8" hidden="1" x14ac:dyDescent="0.2">
      <c r="A585" s="7">
        <v>1244000</v>
      </c>
      <c r="B585" s="7" t="s">
        <v>369</v>
      </c>
      <c r="C585" s="7" t="s">
        <v>57</v>
      </c>
      <c r="D585" s="37">
        <v>13.4</v>
      </c>
      <c r="E585" s="37"/>
      <c r="F585" s="9">
        <v>0.05</v>
      </c>
      <c r="G585" s="10">
        <f t="shared" si="2"/>
        <v>12.73</v>
      </c>
      <c r="H585" s="7"/>
    </row>
    <row r="586" spans="1:8" hidden="1" x14ac:dyDescent="0.2">
      <c r="A586" s="7">
        <v>1244008</v>
      </c>
      <c r="B586" s="7" t="s">
        <v>396</v>
      </c>
      <c r="C586" s="7" t="s">
        <v>19</v>
      </c>
      <c r="D586" s="8"/>
      <c r="E586" s="8"/>
      <c r="F586" s="9">
        <v>0.05</v>
      </c>
      <c r="G586" s="10">
        <f t="shared" si="2"/>
        <v>0</v>
      </c>
      <c r="H586" s="7"/>
    </row>
    <row r="587" spans="1:8" hidden="1" x14ac:dyDescent="0.2">
      <c r="A587" s="7">
        <v>1044102</v>
      </c>
      <c r="B587" s="7" t="s">
        <v>401</v>
      </c>
      <c r="C587" s="7" t="s">
        <v>19</v>
      </c>
      <c r="D587" s="8">
        <v>16.8</v>
      </c>
      <c r="E587" s="8"/>
      <c r="F587" s="9">
        <v>0.05</v>
      </c>
      <c r="G587" s="10">
        <f t="shared" si="2"/>
        <v>15.959999999999999</v>
      </c>
      <c r="H587" s="7">
        <v>15.85</v>
      </c>
    </row>
    <row r="588" spans="1:8" hidden="1" x14ac:dyDescent="0.2">
      <c r="A588" s="7">
        <v>1244003</v>
      </c>
      <c r="B588" s="7" t="s">
        <v>372</v>
      </c>
      <c r="C588" s="7" t="s">
        <v>20</v>
      </c>
      <c r="D588" s="8">
        <v>21.05</v>
      </c>
      <c r="E588" s="8"/>
      <c r="F588" s="9">
        <v>0.05</v>
      </c>
      <c r="G588" s="10">
        <f t="shared" si="2"/>
        <v>19.997499999999999</v>
      </c>
      <c r="H588" s="7"/>
    </row>
    <row r="589" spans="1:8" hidden="1" x14ac:dyDescent="0.2">
      <c r="A589" s="7">
        <v>1244007</v>
      </c>
      <c r="B589" s="7" t="s">
        <v>445</v>
      </c>
      <c r="C589" s="7" t="s">
        <v>19</v>
      </c>
      <c r="D589" s="8">
        <v>17.63</v>
      </c>
      <c r="E589" s="8"/>
      <c r="F589" s="9">
        <v>0.05</v>
      </c>
      <c r="G589" s="10">
        <f t="shared" si="2"/>
        <v>16.7485</v>
      </c>
      <c r="H589" s="7"/>
    </row>
    <row r="590" spans="1:8" hidden="1" x14ac:dyDescent="0.2">
      <c r="A590" s="7">
        <v>1244002</v>
      </c>
      <c r="B590" s="7" t="s">
        <v>370</v>
      </c>
      <c r="C590" s="7" t="s">
        <v>57</v>
      </c>
      <c r="D590" s="8">
        <v>20.7</v>
      </c>
      <c r="E590" s="8"/>
      <c r="F590" s="9">
        <v>0.05</v>
      </c>
      <c r="G590" s="10">
        <f t="shared" si="2"/>
        <v>19.664999999999999</v>
      </c>
      <c r="H590" s="7"/>
    </row>
    <row r="591" spans="1:8" hidden="1" x14ac:dyDescent="0.2">
      <c r="A591" s="7">
        <v>6246000</v>
      </c>
      <c r="B591" s="7" t="s">
        <v>397</v>
      </c>
      <c r="C591" s="7" t="s">
        <v>19</v>
      </c>
      <c r="D591" s="8">
        <v>17.63</v>
      </c>
      <c r="E591" s="8"/>
      <c r="F591" s="9">
        <v>0.05</v>
      </c>
      <c r="G591" s="10">
        <f t="shared" si="2"/>
        <v>16.7485</v>
      </c>
      <c r="H591" s="7"/>
    </row>
    <row r="592" spans="1:8" hidden="1" x14ac:dyDescent="0.2">
      <c r="A592" s="7">
        <v>3285001</v>
      </c>
      <c r="B592" s="7" t="s">
        <v>414</v>
      </c>
      <c r="C592" s="7" t="s">
        <v>19</v>
      </c>
      <c r="D592" s="8">
        <v>25</v>
      </c>
      <c r="E592" s="8"/>
      <c r="F592" s="9">
        <v>0.05</v>
      </c>
      <c r="G592" s="10">
        <f t="shared" si="2"/>
        <v>23.75</v>
      </c>
      <c r="H592" s="7"/>
    </row>
    <row r="593" spans="1:8" hidden="1" x14ac:dyDescent="0.2">
      <c r="A593" s="7">
        <v>6246001</v>
      </c>
      <c r="B593" s="7" t="s">
        <v>383</v>
      </c>
      <c r="C593" s="7" t="s">
        <v>496</v>
      </c>
      <c r="D593" s="8">
        <v>25</v>
      </c>
      <c r="E593" s="8"/>
      <c r="F593" s="9">
        <v>0.05</v>
      </c>
      <c r="G593" s="10">
        <f t="shared" si="2"/>
        <v>23.75</v>
      </c>
      <c r="H593" s="7"/>
    </row>
    <row r="594" spans="1:8" hidden="1" x14ac:dyDescent="0.2">
      <c r="A594" s="7">
        <v>6246006</v>
      </c>
      <c r="B594" s="7" t="s">
        <v>382</v>
      </c>
      <c r="C594" s="7" t="s">
        <v>20</v>
      </c>
      <c r="D594" s="8">
        <v>25</v>
      </c>
      <c r="E594" s="8"/>
      <c r="F594" s="9">
        <v>0.05</v>
      </c>
      <c r="G594" s="10">
        <f t="shared" si="2"/>
        <v>23.75</v>
      </c>
      <c r="H594" s="7"/>
    </row>
    <row r="595" spans="1:8" hidden="1" x14ac:dyDescent="0.2">
      <c r="A595" s="7">
        <v>6246007</v>
      </c>
      <c r="B595" s="7" t="s">
        <v>398</v>
      </c>
      <c r="C595" s="7" t="s">
        <v>19</v>
      </c>
      <c r="D595" s="8">
        <v>36</v>
      </c>
      <c r="E595" s="8"/>
      <c r="F595" s="9">
        <v>0.05</v>
      </c>
      <c r="G595" s="10">
        <f t="shared" si="2"/>
        <v>34.199999999999996</v>
      </c>
      <c r="H595" s="7"/>
    </row>
    <row r="596" spans="1:8" hidden="1" x14ac:dyDescent="0.2">
      <c r="A596" s="7">
        <v>1645012</v>
      </c>
      <c r="B596" s="7" t="s">
        <v>388</v>
      </c>
      <c r="C596" s="7" t="s">
        <v>19</v>
      </c>
      <c r="D596" s="8">
        <v>37</v>
      </c>
      <c r="E596" s="8"/>
      <c r="F596" s="9">
        <v>0.05</v>
      </c>
      <c r="G596" s="10">
        <f t="shared" si="2"/>
        <v>35.15</v>
      </c>
      <c r="H596" s="7">
        <v>36</v>
      </c>
    </row>
    <row r="597" spans="1:8" hidden="1" x14ac:dyDescent="0.2">
      <c r="A597" s="7">
        <v>1645402</v>
      </c>
      <c r="B597" s="7" t="s">
        <v>380</v>
      </c>
      <c r="C597" s="7" t="s">
        <v>20</v>
      </c>
      <c r="D597" s="8">
        <v>23.5</v>
      </c>
      <c r="E597" s="8"/>
      <c r="F597" s="9">
        <v>0.05</v>
      </c>
      <c r="G597" s="10">
        <f t="shared" si="2"/>
        <v>22.324999999999999</v>
      </c>
      <c r="H597" s="7">
        <v>20.6</v>
      </c>
    </row>
    <row r="598" spans="1:8" hidden="1" x14ac:dyDescent="0.2">
      <c r="A598" s="7">
        <v>5245003</v>
      </c>
      <c r="B598" s="7" t="s">
        <v>391</v>
      </c>
      <c r="C598" s="7" t="s">
        <v>20</v>
      </c>
      <c r="D598" s="8">
        <v>20.6</v>
      </c>
      <c r="E598" s="8"/>
      <c r="F598" s="9">
        <v>0.05</v>
      </c>
      <c r="G598" s="10">
        <f t="shared" si="2"/>
        <v>19.57</v>
      </c>
      <c r="H598" s="7"/>
    </row>
    <row r="599" spans="1:8" hidden="1" x14ac:dyDescent="0.2">
      <c r="A599" s="7">
        <v>1645403</v>
      </c>
      <c r="B599" s="7" t="s">
        <v>420</v>
      </c>
      <c r="C599" s="7" t="s">
        <v>441</v>
      </c>
      <c r="D599" s="8">
        <v>41</v>
      </c>
      <c r="E599" s="8"/>
      <c r="F599" s="9">
        <v>0.05</v>
      </c>
      <c r="G599" s="10">
        <f t="shared" si="2"/>
        <v>38.949999999999996</v>
      </c>
      <c r="H599" s="7">
        <v>36.5</v>
      </c>
    </row>
    <row r="600" spans="1:8" hidden="1" x14ac:dyDescent="0.2">
      <c r="A600" s="7">
        <v>4184013</v>
      </c>
      <c r="B600" s="7" t="s">
        <v>418</v>
      </c>
      <c r="C600" s="7" t="s">
        <v>20</v>
      </c>
      <c r="D600" s="8">
        <v>28.9</v>
      </c>
      <c r="E600" s="8"/>
      <c r="F600" s="9">
        <v>0.05</v>
      </c>
      <c r="G600" s="10">
        <f t="shared" si="2"/>
        <v>27.454999999999998</v>
      </c>
      <c r="H600" s="7"/>
    </row>
    <row r="601" spans="1:8" hidden="1" x14ac:dyDescent="0.2">
      <c r="A601" s="7">
        <v>1745063</v>
      </c>
      <c r="B601" s="7" t="s">
        <v>386</v>
      </c>
      <c r="C601" s="7" t="s">
        <v>20</v>
      </c>
      <c r="D601" s="8">
        <v>19.2</v>
      </c>
      <c r="E601" s="8"/>
      <c r="F601" s="9">
        <v>0.05</v>
      </c>
      <c r="G601" s="10">
        <v>18.239999999999998</v>
      </c>
      <c r="H601" s="7"/>
    </row>
    <row r="602" spans="1:8" hidden="1" x14ac:dyDescent="0.2">
      <c r="A602" s="7">
        <v>1245008</v>
      </c>
      <c r="B602" s="7" t="s">
        <v>389</v>
      </c>
      <c r="C602" s="7" t="s">
        <v>20</v>
      </c>
      <c r="D602" s="8">
        <v>18.8</v>
      </c>
      <c r="E602" s="8"/>
      <c r="F602" s="9">
        <v>0.05</v>
      </c>
      <c r="G602" s="10">
        <f t="shared" ref="G602:G613" si="3">D602*(1-F602)</f>
        <v>17.86</v>
      </c>
      <c r="H602" s="7">
        <v>17.02</v>
      </c>
    </row>
    <row r="603" spans="1:8" hidden="1" x14ac:dyDescent="0.2">
      <c r="A603" s="7">
        <v>1845152</v>
      </c>
      <c r="B603" s="7" t="s">
        <v>408</v>
      </c>
      <c r="C603" s="7" t="s">
        <v>20</v>
      </c>
      <c r="D603" s="8">
        <v>32.9</v>
      </c>
      <c r="E603" s="8"/>
      <c r="F603" s="9">
        <v>0.05</v>
      </c>
      <c r="G603" s="10">
        <f t="shared" si="3"/>
        <v>31.254999999999995</v>
      </c>
      <c r="H603" s="7"/>
    </row>
    <row r="604" spans="1:8" hidden="1" x14ac:dyDescent="0.2">
      <c r="A604" s="7">
        <v>1845152</v>
      </c>
      <c r="B604" s="7" t="s">
        <v>421</v>
      </c>
      <c r="C604" s="7" t="s">
        <v>20</v>
      </c>
      <c r="D604" s="8">
        <v>33.9</v>
      </c>
      <c r="E604" s="8"/>
      <c r="F604" s="9">
        <v>0.05</v>
      </c>
      <c r="G604" s="10">
        <f t="shared" si="3"/>
        <v>32.204999999999998</v>
      </c>
      <c r="H604" s="7"/>
    </row>
    <row r="605" spans="1:8" hidden="1" x14ac:dyDescent="0.2">
      <c r="A605" s="7">
        <v>1245008</v>
      </c>
      <c r="B605" s="7" t="s">
        <v>381</v>
      </c>
      <c r="C605" s="7" t="s">
        <v>20</v>
      </c>
      <c r="D605" s="8">
        <v>16.95</v>
      </c>
      <c r="E605" s="8"/>
      <c r="F605" s="9">
        <v>0.05</v>
      </c>
      <c r="G605" s="10">
        <f t="shared" si="3"/>
        <v>16.102499999999999</v>
      </c>
      <c r="H605" s="7"/>
    </row>
    <row r="606" spans="1:8" hidden="1" x14ac:dyDescent="0.2">
      <c r="A606" s="7">
        <v>5245006</v>
      </c>
      <c r="B606" s="7" t="s">
        <v>392</v>
      </c>
      <c r="C606" s="7" t="s">
        <v>19</v>
      </c>
      <c r="D606" s="8">
        <v>34.200000000000003</v>
      </c>
      <c r="E606" s="8"/>
      <c r="F606" s="9">
        <v>0.05</v>
      </c>
      <c r="G606" s="10">
        <f t="shared" si="3"/>
        <v>32.49</v>
      </c>
      <c r="H606" s="7"/>
    </row>
    <row r="607" spans="1:8" hidden="1" x14ac:dyDescent="0.2">
      <c r="A607" s="7">
        <v>1745200</v>
      </c>
      <c r="B607" s="7" t="s">
        <v>410</v>
      </c>
      <c r="C607" s="7" t="s">
        <v>20</v>
      </c>
      <c r="D607" s="8">
        <v>28.4</v>
      </c>
      <c r="E607" s="8"/>
      <c r="F607" s="9">
        <v>0.05</v>
      </c>
      <c r="G607" s="10">
        <f t="shared" si="3"/>
        <v>26.979999999999997</v>
      </c>
      <c r="H607" s="7"/>
    </row>
    <row r="608" spans="1:8" hidden="1" x14ac:dyDescent="0.2">
      <c r="A608" s="7">
        <v>1145021</v>
      </c>
      <c r="B608" s="7" t="s">
        <v>377</v>
      </c>
      <c r="C608" s="7" t="s">
        <v>20</v>
      </c>
      <c r="D608" s="8">
        <v>17.84</v>
      </c>
      <c r="E608" s="8"/>
      <c r="F608" s="9">
        <v>0.05</v>
      </c>
      <c r="G608" s="10">
        <f t="shared" si="3"/>
        <v>16.948</v>
      </c>
      <c r="H608" s="7"/>
    </row>
    <row r="609" spans="1:8" hidden="1" x14ac:dyDescent="0.2">
      <c r="A609" s="7">
        <v>1145021</v>
      </c>
      <c r="B609" s="7" t="s">
        <v>400</v>
      </c>
      <c r="C609" s="7" t="s">
        <v>20</v>
      </c>
      <c r="D609" s="8">
        <v>20.5</v>
      </c>
      <c r="E609" s="8"/>
      <c r="F609" s="9">
        <v>0.05</v>
      </c>
      <c r="G609" s="36">
        <f t="shared" si="3"/>
        <v>19.474999999999998</v>
      </c>
      <c r="H609" s="7"/>
    </row>
    <row r="610" spans="1:8" hidden="1" x14ac:dyDescent="0.2">
      <c r="A610" s="7">
        <v>1145022</v>
      </c>
      <c r="B610" s="7" t="s">
        <v>374</v>
      </c>
      <c r="C610" s="7" t="s">
        <v>20</v>
      </c>
      <c r="D610" s="8">
        <v>20.5</v>
      </c>
      <c r="E610" s="8"/>
      <c r="F610" s="9">
        <v>0.05</v>
      </c>
      <c r="G610" s="36">
        <f t="shared" si="3"/>
        <v>19.474999999999998</v>
      </c>
      <c r="H610" s="7"/>
    </row>
    <row r="611" spans="1:8" hidden="1" x14ac:dyDescent="0.2">
      <c r="A611" s="7">
        <v>1045157</v>
      </c>
      <c r="B611" s="7" t="s">
        <v>375</v>
      </c>
      <c r="C611" s="7" t="s">
        <v>20</v>
      </c>
      <c r="D611" s="8">
        <v>29.1</v>
      </c>
      <c r="E611" s="8"/>
      <c r="F611" s="9">
        <v>0.05</v>
      </c>
      <c r="G611" s="10">
        <f t="shared" si="3"/>
        <v>27.645</v>
      </c>
      <c r="H611" s="7"/>
    </row>
    <row r="612" spans="1:8" hidden="1" x14ac:dyDescent="0.2">
      <c r="A612" s="7">
        <v>5245001</v>
      </c>
      <c r="B612" s="7" t="s">
        <v>393</v>
      </c>
      <c r="C612" s="7" t="s">
        <v>19</v>
      </c>
      <c r="D612" s="8">
        <v>22.5</v>
      </c>
      <c r="E612" s="8"/>
      <c r="F612" s="9">
        <v>0.05</v>
      </c>
      <c r="G612" s="10">
        <f t="shared" si="3"/>
        <v>21.375</v>
      </c>
      <c r="H612" s="7"/>
    </row>
    <row r="613" spans="1:8" hidden="1" x14ac:dyDescent="0.2">
      <c r="A613" s="7">
        <v>3285000</v>
      </c>
      <c r="B613" s="7" t="s">
        <v>378</v>
      </c>
      <c r="C613" s="7" t="s">
        <v>19</v>
      </c>
      <c r="D613" s="8">
        <v>29</v>
      </c>
      <c r="E613" s="8"/>
      <c r="F613" s="9">
        <v>0.05</v>
      </c>
      <c r="G613" s="10">
        <f t="shared" si="3"/>
        <v>27.549999999999997</v>
      </c>
      <c r="H613" s="7">
        <v>7.8</v>
      </c>
    </row>
    <row r="614" spans="1:8" hidden="1" x14ac:dyDescent="0.2">
      <c r="A614" s="27">
        <v>1144020</v>
      </c>
      <c r="B614" s="27" t="s">
        <v>490</v>
      </c>
      <c r="C614" s="27" t="s">
        <v>19</v>
      </c>
      <c r="D614" s="8">
        <v>22.5</v>
      </c>
      <c r="E614" s="8"/>
      <c r="F614" s="9">
        <v>0.05</v>
      </c>
      <c r="G614" s="36">
        <v>21.38</v>
      </c>
      <c r="H614" s="7">
        <v>22.11</v>
      </c>
    </row>
    <row r="615" spans="1:8" hidden="1" x14ac:dyDescent="0.2">
      <c r="A615" s="27">
        <v>2195050</v>
      </c>
      <c r="B615" s="27" t="s">
        <v>443</v>
      </c>
      <c r="C615" s="27" t="s">
        <v>20</v>
      </c>
      <c r="D615" s="37">
        <v>15.2</v>
      </c>
      <c r="E615" s="37"/>
      <c r="F615" s="9">
        <v>0.05</v>
      </c>
      <c r="G615" s="36">
        <v>14.44</v>
      </c>
      <c r="H615" s="7"/>
    </row>
    <row r="616" spans="1:8" hidden="1" x14ac:dyDescent="0.2">
      <c r="A616" s="27"/>
      <c r="B616" s="27" t="s">
        <v>583</v>
      </c>
      <c r="C616" s="27" t="s">
        <v>20</v>
      </c>
      <c r="D616" s="37">
        <v>34.299999999999997</v>
      </c>
      <c r="E616" s="37"/>
      <c r="F616" s="9">
        <v>0.09</v>
      </c>
      <c r="G616" s="36">
        <v>31.2</v>
      </c>
      <c r="H616" s="7"/>
    </row>
    <row r="617" spans="1:8" hidden="1" x14ac:dyDescent="0.2">
      <c r="A617" s="27">
        <v>1845152</v>
      </c>
      <c r="B617" s="27" t="s">
        <v>563</v>
      </c>
      <c r="C617" s="27" t="s">
        <v>20</v>
      </c>
      <c r="D617" s="37">
        <v>33.9</v>
      </c>
      <c r="E617" s="37"/>
      <c r="F617" s="9">
        <v>0.05</v>
      </c>
      <c r="G617" s="36">
        <v>32.200000000000003</v>
      </c>
      <c r="H617" s="7"/>
    </row>
    <row r="618" spans="1:8" x14ac:dyDescent="0.2">
      <c r="A618" s="28"/>
      <c r="B618" s="28"/>
      <c r="C618" s="28"/>
      <c r="D618" s="24"/>
      <c r="E618" s="24"/>
      <c r="F618" s="25"/>
      <c r="G618" s="26"/>
      <c r="H618" s="23"/>
    </row>
    <row r="619" spans="1:8" ht="18" hidden="1" x14ac:dyDescent="0.25">
      <c r="A619" s="11" t="s">
        <v>422</v>
      </c>
    </row>
    <row r="620" spans="1:8" s="16" customFormat="1" ht="15" hidden="1" x14ac:dyDescent="0.25">
      <c r="A620" s="1"/>
      <c r="B620"/>
      <c r="C620"/>
      <c r="D620" s="2"/>
      <c r="E620" s="2"/>
      <c r="F620" s="3"/>
      <c r="G620" s="4"/>
      <c r="H620"/>
    </row>
    <row r="621" spans="1:8" ht="15" hidden="1" x14ac:dyDescent="0.25">
      <c r="A621" s="12" t="s">
        <v>432</v>
      </c>
      <c r="B621" s="12" t="s">
        <v>1</v>
      </c>
      <c r="C621" s="12" t="s">
        <v>19</v>
      </c>
      <c r="D621" s="13" t="s">
        <v>424</v>
      </c>
      <c r="E621" s="13"/>
      <c r="F621" s="14" t="s">
        <v>113</v>
      </c>
      <c r="G621" s="15" t="s">
        <v>427</v>
      </c>
      <c r="H621" s="12" t="s">
        <v>426</v>
      </c>
    </row>
    <row r="622" spans="1:8" hidden="1" x14ac:dyDescent="0.2">
      <c r="A622" s="7"/>
      <c r="B622" s="7" t="s">
        <v>589</v>
      </c>
      <c r="C622" s="7" t="s">
        <v>20</v>
      </c>
      <c r="D622" s="8">
        <v>10.7</v>
      </c>
      <c r="E622" s="8"/>
      <c r="F622" s="9"/>
      <c r="G622" s="10"/>
      <c r="H622" s="7"/>
    </row>
    <row r="623" spans="1:8" hidden="1" x14ac:dyDescent="0.2">
      <c r="A623" s="7"/>
      <c r="B623" s="7" t="s">
        <v>508</v>
      </c>
      <c r="C623" s="7" t="s">
        <v>20</v>
      </c>
      <c r="D623" s="8">
        <v>29.4</v>
      </c>
      <c r="E623" s="8"/>
      <c r="F623" s="9"/>
      <c r="G623" s="10"/>
      <c r="H623" s="7"/>
    </row>
    <row r="624" spans="1:8" hidden="1" x14ac:dyDescent="0.2">
      <c r="A624" s="7"/>
      <c r="B624" s="7" t="s">
        <v>509</v>
      </c>
      <c r="C624" s="7"/>
      <c r="D624" s="8"/>
      <c r="E624" s="8"/>
      <c r="F624" s="9"/>
      <c r="G624" s="10"/>
      <c r="H624" s="7"/>
    </row>
    <row r="625" spans="1:8" hidden="1" x14ac:dyDescent="0.2">
      <c r="A625" s="7"/>
      <c r="B625" s="7" t="s">
        <v>587</v>
      </c>
      <c r="C625" s="7"/>
      <c r="D625" s="8">
        <v>14.25</v>
      </c>
      <c r="E625" s="8"/>
      <c r="F625" s="9"/>
      <c r="G625" s="10"/>
      <c r="H625" s="7"/>
    </row>
    <row r="626" spans="1:8" hidden="1" x14ac:dyDescent="0.2">
      <c r="A626" s="7"/>
      <c r="B626" s="7" t="s">
        <v>586</v>
      </c>
      <c r="C626" s="7"/>
      <c r="D626" s="8">
        <v>26.4</v>
      </c>
      <c r="E626" s="8"/>
      <c r="F626" s="9"/>
      <c r="G626" s="10"/>
      <c r="H626" s="7"/>
    </row>
    <row r="627" spans="1:8" hidden="1" x14ac:dyDescent="0.2">
      <c r="A627" s="7"/>
      <c r="B627" s="7" t="s">
        <v>593</v>
      </c>
      <c r="C627" s="7"/>
      <c r="D627" s="8">
        <v>14.95</v>
      </c>
      <c r="E627" s="8"/>
      <c r="F627" s="9"/>
      <c r="G627" s="10"/>
      <c r="H627" s="7"/>
    </row>
    <row r="628" spans="1:8" hidden="1" x14ac:dyDescent="0.2">
      <c r="A628" s="7">
        <v>425802</v>
      </c>
      <c r="B628" s="7" t="s">
        <v>498</v>
      </c>
      <c r="C628" s="7" t="s">
        <v>20</v>
      </c>
      <c r="D628" s="8">
        <v>28.1</v>
      </c>
      <c r="E628" s="8"/>
      <c r="F628" s="9"/>
      <c r="G628" s="10"/>
      <c r="H628" s="7"/>
    </row>
    <row r="629" spans="1:8" hidden="1" x14ac:dyDescent="0.2">
      <c r="A629" s="7">
        <v>415306</v>
      </c>
      <c r="B629" s="7" t="s">
        <v>476</v>
      </c>
      <c r="C629" s="7"/>
      <c r="D629" s="37">
        <v>13.1</v>
      </c>
      <c r="E629" s="37"/>
      <c r="F629" s="9"/>
      <c r="G629" s="10"/>
      <c r="H629" s="7">
        <v>11.5</v>
      </c>
    </row>
    <row r="630" spans="1:8" hidden="1" x14ac:dyDescent="0.2">
      <c r="A630" s="7">
        <v>415334</v>
      </c>
      <c r="B630" s="7" t="s">
        <v>423</v>
      </c>
      <c r="C630" s="7" t="s">
        <v>20</v>
      </c>
      <c r="D630" s="37">
        <v>38.799999999999997</v>
      </c>
      <c r="E630" s="37"/>
      <c r="F630" s="9"/>
      <c r="G630" s="10"/>
      <c r="H630" s="7">
        <v>38.799999999999997</v>
      </c>
    </row>
    <row r="631" spans="1:8" hidden="1" x14ac:dyDescent="0.2">
      <c r="A631" s="7"/>
      <c r="B631" s="7" t="s">
        <v>491</v>
      </c>
      <c r="C631" s="7" t="s">
        <v>492</v>
      </c>
      <c r="D631" s="37">
        <v>15.5</v>
      </c>
      <c r="E631" s="37"/>
      <c r="F631" s="9"/>
      <c r="G631" s="10"/>
      <c r="H631" s="7"/>
    </row>
    <row r="632" spans="1:8" hidden="1" x14ac:dyDescent="0.2">
      <c r="A632" s="7">
        <v>425808</v>
      </c>
      <c r="B632" s="7" t="s">
        <v>475</v>
      </c>
      <c r="C632" s="7"/>
      <c r="D632" s="37">
        <v>15.8</v>
      </c>
      <c r="E632" s="37"/>
      <c r="F632" s="9"/>
      <c r="G632" s="10"/>
      <c r="H632" s="7" t="s">
        <v>474</v>
      </c>
    </row>
    <row r="633" spans="1:8" hidden="1" x14ac:dyDescent="0.2">
      <c r="A633" s="7"/>
      <c r="B633" s="7" t="s">
        <v>499</v>
      </c>
      <c r="C633" s="7"/>
      <c r="D633" s="8">
        <v>28.65</v>
      </c>
      <c r="E633" s="8"/>
      <c r="F633" s="9"/>
      <c r="G633" s="10"/>
      <c r="H633" s="7"/>
    </row>
    <row r="634" spans="1:8" hidden="1" x14ac:dyDescent="0.2">
      <c r="A634" s="7">
        <v>415464</v>
      </c>
      <c r="B634" s="7" t="s">
        <v>478</v>
      </c>
      <c r="C634" s="7" t="s">
        <v>20</v>
      </c>
      <c r="D634" s="37">
        <v>14.85</v>
      </c>
      <c r="E634" s="37"/>
      <c r="F634" s="9"/>
      <c r="G634" s="10"/>
      <c r="H634" s="7"/>
    </row>
    <row r="635" spans="1:8" hidden="1" x14ac:dyDescent="0.2">
      <c r="A635" s="7">
        <v>415464</v>
      </c>
      <c r="B635" s="7" t="s">
        <v>479</v>
      </c>
      <c r="C635" s="7" t="s">
        <v>20</v>
      </c>
      <c r="D635" s="37">
        <v>14.25</v>
      </c>
      <c r="E635" s="37"/>
      <c r="F635" s="9"/>
      <c r="G635" s="10"/>
      <c r="H635" s="7"/>
    </row>
    <row r="636" spans="1:8" hidden="1" x14ac:dyDescent="0.2">
      <c r="A636" s="7">
        <v>415338</v>
      </c>
      <c r="B636" s="7" t="s">
        <v>477</v>
      </c>
      <c r="C636" s="7" t="s">
        <v>20</v>
      </c>
      <c r="D636" s="37">
        <v>12.5</v>
      </c>
      <c r="E636" s="37"/>
      <c r="F636" s="9"/>
      <c r="G636" s="10"/>
      <c r="H636" s="7" t="s">
        <v>474</v>
      </c>
    </row>
    <row r="637" spans="1:8" hidden="1" x14ac:dyDescent="0.2">
      <c r="A637" s="7"/>
      <c r="B637" s="7" t="s">
        <v>590</v>
      </c>
      <c r="C637" s="7" t="s">
        <v>20</v>
      </c>
      <c r="D637" s="8">
        <v>7.5</v>
      </c>
      <c r="E637" s="8"/>
      <c r="F637" s="9"/>
      <c r="G637" s="10"/>
      <c r="H637" s="7"/>
    </row>
    <row r="638" spans="1:8" hidden="1" x14ac:dyDescent="0.2">
      <c r="A638" s="7"/>
      <c r="B638" s="7" t="s">
        <v>588</v>
      </c>
      <c r="C638" s="7" t="s">
        <v>20</v>
      </c>
      <c r="D638" s="8">
        <v>8.75</v>
      </c>
      <c r="E638" s="8"/>
      <c r="F638" s="9"/>
      <c r="G638" s="10"/>
      <c r="H638" s="7"/>
    </row>
    <row r="639" spans="1:8" hidden="1" x14ac:dyDescent="0.2">
      <c r="A639" s="7"/>
      <c r="B639" s="27" t="s">
        <v>594</v>
      </c>
      <c r="C639" s="27" t="s">
        <v>20</v>
      </c>
      <c r="D639" s="8">
        <v>28.5</v>
      </c>
      <c r="E639" s="8"/>
      <c r="F639" s="9"/>
      <c r="G639" s="10"/>
      <c r="H639" s="7"/>
    </row>
    <row r="640" spans="1:8" ht="20.25" x14ac:dyDescent="0.3">
      <c r="A640" s="79" t="s">
        <v>780</v>
      </c>
      <c r="B640" s="66"/>
      <c r="C640" s="66"/>
      <c r="D640" s="67"/>
      <c r="E640" s="67"/>
      <c r="F640" s="68"/>
      <c r="G640" s="69"/>
      <c r="H640" s="66"/>
    </row>
    <row r="641" spans="1:8" ht="15" x14ac:dyDescent="0.25">
      <c r="A641" s="70" t="s">
        <v>0</v>
      </c>
      <c r="B641" s="70" t="s">
        <v>1</v>
      </c>
      <c r="C641" s="70" t="s">
        <v>19</v>
      </c>
      <c r="D641" s="71" t="s">
        <v>424</v>
      </c>
      <c r="E641" s="71"/>
      <c r="F641" s="72" t="s">
        <v>113</v>
      </c>
      <c r="G641" s="73" t="s">
        <v>779</v>
      </c>
      <c r="H641" s="70" t="s">
        <v>426</v>
      </c>
    </row>
    <row r="642" spans="1:8" ht="15" x14ac:dyDescent="0.25">
      <c r="A642" s="70"/>
      <c r="B642" s="75" t="s">
        <v>906</v>
      </c>
      <c r="C642" s="75" t="s">
        <v>463</v>
      </c>
      <c r="D642" s="80">
        <v>10</v>
      </c>
      <c r="E642" s="80"/>
      <c r="F642" s="72"/>
      <c r="G642" s="73"/>
      <c r="H642" s="70"/>
    </row>
    <row r="643" spans="1:8" ht="15" x14ac:dyDescent="0.25">
      <c r="A643" s="70"/>
      <c r="B643" s="75" t="s">
        <v>675</v>
      </c>
      <c r="C643" s="75" t="s">
        <v>463</v>
      </c>
      <c r="D643" s="80">
        <v>6.9</v>
      </c>
      <c r="E643" s="80"/>
      <c r="F643" s="72"/>
      <c r="G643" s="73"/>
      <c r="H643" s="70"/>
    </row>
    <row r="644" spans="1:8" ht="15" x14ac:dyDescent="0.25">
      <c r="A644" s="70"/>
      <c r="B644" s="75" t="s">
        <v>804</v>
      </c>
      <c r="C644" s="75" t="s">
        <v>20</v>
      </c>
      <c r="D644" s="80">
        <v>15</v>
      </c>
      <c r="E644" s="80"/>
      <c r="F644" s="72"/>
      <c r="G644" s="73"/>
      <c r="H644" s="70"/>
    </row>
    <row r="645" spans="1:8" ht="15" x14ac:dyDescent="0.25">
      <c r="A645" s="70"/>
      <c r="B645" s="75" t="s">
        <v>905</v>
      </c>
      <c r="C645" s="75" t="s">
        <v>516</v>
      </c>
      <c r="D645" s="80">
        <v>64</v>
      </c>
      <c r="E645" s="80"/>
      <c r="F645" s="72"/>
      <c r="G645" s="73"/>
      <c r="H645" s="70"/>
    </row>
    <row r="646" spans="1:8" x14ac:dyDescent="0.2">
      <c r="A646" s="74"/>
      <c r="B646" s="74" t="s">
        <v>1061</v>
      </c>
      <c r="C646" s="75" t="s">
        <v>463</v>
      </c>
      <c r="D646" s="76">
        <v>35</v>
      </c>
      <c r="E646" s="76"/>
      <c r="F646" s="77"/>
      <c r="G646" s="78"/>
      <c r="H646" s="74"/>
    </row>
    <row r="647" spans="1:8" ht="15" x14ac:dyDescent="0.25">
      <c r="A647" s="70"/>
      <c r="B647" s="75" t="s">
        <v>805</v>
      </c>
      <c r="C647" s="75" t="s">
        <v>20</v>
      </c>
      <c r="D647" s="80">
        <v>46</v>
      </c>
      <c r="E647" s="80"/>
      <c r="F647" s="72"/>
      <c r="G647" s="73"/>
      <c r="H647" s="70"/>
    </row>
    <row r="648" spans="1:8" x14ac:dyDescent="0.2">
      <c r="A648" s="74"/>
      <c r="B648" s="74" t="s">
        <v>754</v>
      </c>
      <c r="C648" s="75" t="s">
        <v>907</v>
      </c>
      <c r="D648" s="76">
        <v>7</v>
      </c>
      <c r="E648" s="76"/>
      <c r="F648" s="77"/>
      <c r="G648" s="78"/>
      <c r="H648" s="74">
        <v>160</v>
      </c>
    </row>
    <row r="649" spans="1:8" x14ac:dyDescent="0.2">
      <c r="A649" s="74">
        <v>13336</v>
      </c>
      <c r="B649" s="74" t="s">
        <v>561</v>
      </c>
      <c r="C649" s="74" t="s">
        <v>907</v>
      </c>
      <c r="D649" s="76">
        <v>4.7</v>
      </c>
      <c r="E649" s="76"/>
      <c r="F649" s="77"/>
      <c r="G649" s="78">
        <v>125</v>
      </c>
      <c r="H649" s="74">
        <v>115</v>
      </c>
    </row>
    <row r="650" spans="1:8" x14ac:dyDescent="0.2">
      <c r="A650" s="74"/>
      <c r="B650" s="74" t="s">
        <v>630</v>
      </c>
      <c r="C650" s="75" t="s">
        <v>516</v>
      </c>
      <c r="D650" s="76">
        <v>80</v>
      </c>
      <c r="E650" s="76"/>
      <c r="F650" s="77"/>
      <c r="G650" s="78">
        <v>85</v>
      </c>
      <c r="H650" s="74"/>
    </row>
    <row r="651" spans="1:8" ht="15" x14ac:dyDescent="0.25">
      <c r="A651" s="70"/>
      <c r="B651" s="75" t="s">
        <v>806</v>
      </c>
      <c r="C651" s="75" t="s">
        <v>20</v>
      </c>
      <c r="D651" s="80">
        <v>20</v>
      </c>
      <c r="E651" s="80"/>
      <c r="F651" s="72"/>
      <c r="G651" s="73"/>
      <c r="H651" s="70"/>
    </row>
    <row r="652" spans="1:8" ht="15" x14ac:dyDescent="0.25">
      <c r="A652" s="70"/>
      <c r="B652" s="75" t="s">
        <v>807</v>
      </c>
      <c r="C652" s="75" t="s">
        <v>20</v>
      </c>
      <c r="D652" s="80">
        <v>20</v>
      </c>
      <c r="E652" s="80"/>
      <c r="F652" s="72"/>
      <c r="G652" s="73"/>
      <c r="H652" s="70"/>
    </row>
    <row r="653" spans="1:8" x14ac:dyDescent="0.2">
      <c r="A653" s="74"/>
      <c r="B653" s="74" t="s">
        <v>607</v>
      </c>
      <c r="C653" s="74"/>
      <c r="D653" s="76">
        <v>26</v>
      </c>
      <c r="E653" s="76"/>
      <c r="F653" s="77"/>
      <c r="G653" s="78">
        <v>19.399999999999999</v>
      </c>
      <c r="H653" s="74" t="s">
        <v>676</v>
      </c>
    </row>
    <row r="654" spans="1:8" x14ac:dyDescent="0.2">
      <c r="A654" s="74"/>
      <c r="B654" s="74" t="s">
        <v>699</v>
      </c>
      <c r="C654" s="74"/>
      <c r="D654" s="76">
        <v>17</v>
      </c>
      <c r="E654" s="76"/>
      <c r="F654" s="77"/>
      <c r="G654" s="78"/>
      <c r="H654" s="74"/>
    </row>
    <row r="655" spans="1:8" x14ac:dyDescent="0.2">
      <c r="A655" s="74"/>
      <c r="B655" s="74" t="s">
        <v>153</v>
      </c>
      <c r="C655" s="74" t="s">
        <v>20</v>
      </c>
      <c r="D655" s="76">
        <v>6</v>
      </c>
      <c r="E655" s="76"/>
      <c r="F655" s="77"/>
      <c r="G655" s="78">
        <v>4.3</v>
      </c>
      <c r="H655" s="74"/>
    </row>
    <row r="656" spans="1:8" x14ac:dyDescent="0.2">
      <c r="A656" s="74"/>
      <c r="B656" s="74" t="s">
        <v>608</v>
      </c>
      <c r="C656" s="74"/>
      <c r="D656" s="76">
        <v>16</v>
      </c>
      <c r="E656" s="76"/>
      <c r="F656" s="77"/>
      <c r="G656" s="78"/>
      <c r="H656" s="74"/>
    </row>
    <row r="657" spans="1:9" x14ac:dyDescent="0.2">
      <c r="A657" s="74"/>
      <c r="B657" s="74" t="s">
        <v>840</v>
      </c>
      <c r="C657" s="74"/>
      <c r="D657" s="76">
        <v>17</v>
      </c>
      <c r="E657" s="76"/>
      <c r="F657" s="77"/>
      <c r="G657" s="78">
        <v>5</v>
      </c>
      <c r="H657" s="74"/>
    </row>
    <row r="658" spans="1:9" x14ac:dyDescent="0.2">
      <c r="A658" s="74">
        <v>77438</v>
      </c>
      <c r="B658" s="74" t="s">
        <v>814</v>
      </c>
      <c r="C658" s="74"/>
      <c r="D658" s="76">
        <v>4.5</v>
      </c>
      <c r="E658" s="76"/>
      <c r="F658" s="77"/>
      <c r="G658" s="78"/>
      <c r="H658" s="74">
        <v>4.03</v>
      </c>
    </row>
    <row r="659" spans="1:9" x14ac:dyDescent="0.2">
      <c r="A659" s="74"/>
      <c r="B659" s="74" t="s">
        <v>700</v>
      </c>
      <c r="C659" s="74" t="s">
        <v>20</v>
      </c>
      <c r="D659" s="76">
        <v>21.5</v>
      </c>
      <c r="E659" s="76"/>
      <c r="F659" s="77"/>
      <c r="G659" s="78">
        <v>25</v>
      </c>
      <c r="H659" s="74"/>
    </row>
    <row r="660" spans="1:9" x14ac:dyDescent="0.2">
      <c r="A660" s="74"/>
      <c r="B660" s="74" t="s">
        <v>783</v>
      </c>
      <c r="C660" s="75" t="s">
        <v>463</v>
      </c>
      <c r="D660" s="76">
        <v>25</v>
      </c>
      <c r="E660" s="76"/>
      <c r="F660" s="77"/>
      <c r="G660" s="78"/>
      <c r="H660" s="74"/>
    </row>
    <row r="661" spans="1:9" x14ac:dyDescent="0.2">
      <c r="A661" s="74">
        <v>29225</v>
      </c>
      <c r="B661" s="74" t="s">
        <v>453</v>
      </c>
      <c r="C661" s="74"/>
      <c r="D661" s="76">
        <v>14.5</v>
      </c>
      <c r="E661" s="76"/>
      <c r="F661" s="77"/>
      <c r="G661" s="78">
        <v>13.5</v>
      </c>
      <c r="H661" s="74" t="s">
        <v>677</v>
      </c>
    </row>
    <row r="662" spans="1:9" x14ac:dyDescent="0.2">
      <c r="A662" s="74"/>
      <c r="B662" s="75" t="s">
        <v>909</v>
      </c>
      <c r="C662" s="75" t="s">
        <v>463</v>
      </c>
      <c r="D662" s="76">
        <v>35</v>
      </c>
      <c r="E662" s="76"/>
      <c r="F662" s="77"/>
      <c r="G662" s="78"/>
      <c r="H662" s="74"/>
    </row>
    <row r="663" spans="1:9" x14ac:dyDescent="0.2">
      <c r="A663" s="74"/>
      <c r="B663" s="74" t="s">
        <v>598</v>
      </c>
      <c r="C663" s="74" t="s">
        <v>496</v>
      </c>
      <c r="D663" s="76">
        <v>44</v>
      </c>
      <c r="E663" s="76"/>
      <c r="F663" s="77"/>
      <c r="G663" s="78">
        <v>39</v>
      </c>
      <c r="H663" s="74" t="s">
        <v>696</v>
      </c>
    </row>
    <row r="664" spans="1:9" x14ac:dyDescent="0.2">
      <c r="A664" s="74"/>
      <c r="B664" s="75" t="s">
        <v>908</v>
      </c>
      <c r="C664" s="75" t="s">
        <v>463</v>
      </c>
      <c r="D664" s="76">
        <v>11.3</v>
      </c>
      <c r="E664" s="76"/>
      <c r="F664" s="77"/>
      <c r="G664" s="78"/>
      <c r="H664" s="74"/>
    </row>
    <row r="665" spans="1:9" x14ac:dyDescent="0.2">
      <c r="A665" s="74"/>
      <c r="B665" s="74" t="s">
        <v>689</v>
      </c>
      <c r="C665" s="75" t="s">
        <v>462</v>
      </c>
      <c r="D665" s="76">
        <v>25</v>
      </c>
      <c r="E665" s="76"/>
      <c r="F665" s="77"/>
      <c r="G665" s="78">
        <v>24</v>
      </c>
      <c r="H665" s="74"/>
    </row>
    <row r="666" spans="1:9" x14ac:dyDescent="0.2">
      <c r="A666" s="74"/>
      <c r="B666" s="74" t="s">
        <v>140</v>
      </c>
      <c r="C666" s="75" t="s">
        <v>462</v>
      </c>
      <c r="D666" s="76">
        <v>18</v>
      </c>
      <c r="E666" s="76"/>
      <c r="F666" s="77"/>
      <c r="G666" s="78"/>
      <c r="H666" s="74"/>
    </row>
    <row r="667" spans="1:9" x14ac:dyDescent="0.2">
      <c r="A667" s="74"/>
      <c r="B667" s="74" t="s">
        <v>512</v>
      </c>
      <c r="C667" s="74" t="s">
        <v>20</v>
      </c>
      <c r="D667" s="76">
        <v>28.1</v>
      </c>
      <c r="E667" s="76"/>
      <c r="F667" s="77"/>
      <c r="G667" s="78"/>
      <c r="H667" s="74"/>
    </row>
    <row r="668" spans="1:9" x14ac:dyDescent="0.2">
      <c r="A668" s="74"/>
      <c r="B668" s="74" t="s">
        <v>579</v>
      </c>
      <c r="C668" s="74"/>
      <c r="D668" s="76">
        <v>121</v>
      </c>
      <c r="E668" s="76"/>
      <c r="F668" s="77"/>
      <c r="G668" s="78"/>
      <c r="H668" s="74"/>
    </row>
    <row r="669" spans="1:9" x14ac:dyDescent="0.2">
      <c r="A669" s="74">
        <v>4210</v>
      </c>
      <c r="B669" s="74" t="s">
        <v>528</v>
      </c>
      <c r="C669" s="74"/>
      <c r="D669" s="76">
        <v>45</v>
      </c>
      <c r="E669" s="76"/>
      <c r="F669" s="77"/>
      <c r="G669" s="78">
        <v>43</v>
      </c>
      <c r="H669" s="74">
        <v>46</v>
      </c>
      <c r="I669">
        <v>42</v>
      </c>
    </row>
    <row r="670" spans="1:9" x14ac:dyDescent="0.2">
      <c r="A670" s="74"/>
      <c r="B670" s="74" t="s">
        <v>690</v>
      </c>
      <c r="C670" s="75" t="s">
        <v>910</v>
      </c>
      <c r="D670" s="76">
        <v>9.5</v>
      </c>
      <c r="E670" s="76"/>
      <c r="F670" s="77"/>
      <c r="G670" s="78"/>
      <c r="H670" s="74"/>
    </row>
    <row r="671" spans="1:9" x14ac:dyDescent="0.2">
      <c r="A671" s="74"/>
      <c r="B671" s="74" t="s">
        <v>1062</v>
      </c>
      <c r="C671" s="74" t="s">
        <v>1063</v>
      </c>
      <c r="D671" s="76">
        <v>6.65</v>
      </c>
      <c r="E671" s="76"/>
      <c r="F671" s="77"/>
      <c r="G671" s="78"/>
      <c r="H671" s="74"/>
    </row>
    <row r="672" spans="1:9" x14ac:dyDescent="0.2">
      <c r="A672" s="74"/>
      <c r="B672" s="74" t="s">
        <v>828</v>
      </c>
      <c r="C672" s="74"/>
      <c r="D672" s="76">
        <v>14</v>
      </c>
      <c r="E672" s="76"/>
      <c r="F672" s="77"/>
      <c r="G672" s="78"/>
      <c r="H672" s="74"/>
    </row>
    <row r="673" spans="1:8" x14ac:dyDescent="0.2">
      <c r="A673" s="74"/>
      <c r="B673" s="74" t="s">
        <v>1064</v>
      </c>
      <c r="C673" s="75" t="s">
        <v>463</v>
      </c>
      <c r="D673" s="76">
        <v>45</v>
      </c>
      <c r="E673" s="76"/>
      <c r="F673" s="77"/>
      <c r="G673" s="78"/>
      <c r="H673" s="74"/>
    </row>
    <row r="674" spans="1:8" x14ac:dyDescent="0.2">
      <c r="A674" s="74">
        <v>78417</v>
      </c>
      <c r="B674" s="74" t="s">
        <v>513</v>
      </c>
      <c r="C674" s="74"/>
      <c r="D674" s="76">
        <v>58</v>
      </c>
      <c r="E674" s="76"/>
      <c r="F674" s="77"/>
      <c r="G674" s="78"/>
      <c r="H674" s="74" t="s">
        <v>640</v>
      </c>
    </row>
    <row r="675" spans="1:8" x14ac:dyDescent="0.2">
      <c r="A675" s="74"/>
      <c r="B675" s="74" t="s">
        <v>597</v>
      </c>
      <c r="C675" s="74"/>
      <c r="D675" s="76">
        <v>58.88</v>
      </c>
      <c r="E675" s="76"/>
      <c r="F675" s="77"/>
      <c r="G675" s="78"/>
      <c r="H675" s="74"/>
    </row>
    <row r="676" spans="1:8" x14ac:dyDescent="0.2">
      <c r="A676" s="74"/>
      <c r="B676" s="75" t="s">
        <v>911</v>
      </c>
      <c r="C676" s="75" t="s">
        <v>462</v>
      </c>
      <c r="D676" s="76">
        <v>45</v>
      </c>
      <c r="E676" s="76"/>
      <c r="F676" s="77"/>
      <c r="G676" s="78"/>
      <c r="H676" s="74"/>
    </row>
    <row r="677" spans="1:8" x14ac:dyDescent="0.2">
      <c r="A677" s="74"/>
      <c r="B677" s="74" t="s">
        <v>514</v>
      </c>
      <c r="C677" s="74"/>
      <c r="D677" s="76">
        <v>11.25</v>
      </c>
      <c r="E677" s="76"/>
      <c r="F677" s="77"/>
      <c r="G677" s="78">
        <v>11</v>
      </c>
      <c r="H677" s="74">
        <v>13</v>
      </c>
    </row>
    <row r="678" spans="1:8" x14ac:dyDescent="0.2">
      <c r="A678" s="74"/>
      <c r="B678" s="74" t="s">
        <v>633</v>
      </c>
      <c r="C678" s="74"/>
      <c r="D678" s="76">
        <v>155</v>
      </c>
      <c r="E678" s="76"/>
      <c r="F678" s="77"/>
      <c r="G678" s="78"/>
      <c r="H678" s="74"/>
    </row>
    <row r="679" spans="1:8" x14ac:dyDescent="0.2">
      <c r="A679" s="74"/>
      <c r="B679" s="74" t="s">
        <v>555</v>
      </c>
      <c r="C679" s="74" t="s">
        <v>20</v>
      </c>
      <c r="D679" s="76">
        <v>18</v>
      </c>
      <c r="E679" s="76"/>
      <c r="F679" s="77"/>
      <c r="G679" s="78"/>
      <c r="H679" s="74"/>
    </row>
    <row r="680" spans="1:8" x14ac:dyDescent="0.2">
      <c r="A680" s="74">
        <v>29258</v>
      </c>
      <c r="B680" s="74" t="s">
        <v>452</v>
      </c>
      <c r="C680" s="74"/>
      <c r="D680" s="76">
        <v>185</v>
      </c>
      <c r="E680" s="76"/>
      <c r="F680" s="77"/>
      <c r="G680" s="78"/>
      <c r="H680" s="74">
        <v>139</v>
      </c>
    </row>
    <row r="681" spans="1:8" x14ac:dyDescent="0.2">
      <c r="A681" s="74"/>
      <c r="B681" s="74" t="s">
        <v>750</v>
      </c>
      <c r="C681" s="74" t="s">
        <v>20</v>
      </c>
      <c r="D681" s="76">
        <v>23</v>
      </c>
      <c r="E681" s="76"/>
      <c r="F681" s="77"/>
      <c r="G681" s="78">
        <v>21</v>
      </c>
      <c r="H681" s="74"/>
    </row>
    <row r="682" spans="1:8" x14ac:dyDescent="0.2">
      <c r="A682" s="74"/>
      <c r="B682" s="74" t="s">
        <v>1024</v>
      </c>
      <c r="C682" s="74" t="s">
        <v>496</v>
      </c>
      <c r="D682" s="76">
        <v>25.5</v>
      </c>
      <c r="E682" s="76"/>
      <c r="F682" s="77"/>
      <c r="G682" s="78"/>
      <c r="H682" s="74"/>
    </row>
    <row r="683" spans="1:8" x14ac:dyDescent="0.2">
      <c r="A683" s="74"/>
      <c r="B683" s="74" t="s">
        <v>548</v>
      </c>
      <c r="C683" s="74" t="s">
        <v>462</v>
      </c>
      <c r="D683" s="76">
        <v>99</v>
      </c>
      <c r="E683" s="76"/>
      <c r="F683" s="77"/>
      <c r="G683" s="78"/>
      <c r="H683" s="74">
        <v>70</v>
      </c>
    </row>
    <row r="684" spans="1:8" x14ac:dyDescent="0.2">
      <c r="A684" s="74">
        <v>66401</v>
      </c>
      <c r="B684" s="74" t="s">
        <v>454</v>
      </c>
      <c r="C684" s="74"/>
      <c r="D684" s="76">
        <v>21</v>
      </c>
      <c r="E684" s="76"/>
      <c r="F684" s="77"/>
      <c r="G684" s="78">
        <v>20.5</v>
      </c>
      <c r="H684" s="74">
        <v>21.5</v>
      </c>
    </row>
    <row r="685" spans="1:8" x14ac:dyDescent="0.2">
      <c r="A685" s="74"/>
      <c r="B685" s="74" t="s">
        <v>788</v>
      </c>
      <c r="C685" s="74" t="s">
        <v>20</v>
      </c>
      <c r="D685" s="76">
        <v>24</v>
      </c>
      <c r="E685" s="76"/>
      <c r="F685" s="77"/>
      <c r="G685" s="78"/>
      <c r="H685" s="74"/>
    </row>
    <row r="686" spans="1:8" x14ac:dyDescent="0.2">
      <c r="A686" s="74">
        <v>9255</v>
      </c>
      <c r="B686" s="74" t="s">
        <v>751</v>
      </c>
      <c r="C686" s="74"/>
      <c r="D686" s="76">
        <v>34</v>
      </c>
      <c r="E686" s="76"/>
      <c r="F686" s="77"/>
      <c r="G686" s="78">
        <v>38</v>
      </c>
      <c r="H686" s="74">
        <v>45</v>
      </c>
    </row>
    <row r="687" spans="1:8" x14ac:dyDescent="0.2">
      <c r="A687" s="74"/>
      <c r="B687" s="75" t="s">
        <v>912</v>
      </c>
      <c r="C687" s="75" t="s">
        <v>496</v>
      </c>
      <c r="D687" s="76">
        <v>49</v>
      </c>
      <c r="E687" s="76"/>
      <c r="F687" s="77"/>
      <c r="G687" s="78"/>
      <c r="H687" s="74"/>
    </row>
    <row r="688" spans="1:8" x14ac:dyDescent="0.2">
      <c r="A688" s="74"/>
      <c r="B688" s="75" t="s">
        <v>913</v>
      </c>
      <c r="C688" s="75" t="s">
        <v>463</v>
      </c>
      <c r="D688" s="76">
        <v>15</v>
      </c>
      <c r="E688" s="76"/>
      <c r="F688" s="77"/>
      <c r="G688" s="78"/>
      <c r="H688" s="74"/>
    </row>
    <row r="689" spans="1:8" x14ac:dyDescent="0.2">
      <c r="A689" s="74"/>
      <c r="B689" s="74" t="s">
        <v>691</v>
      </c>
      <c r="C689" s="75" t="s">
        <v>463</v>
      </c>
      <c r="D689" s="76">
        <v>20</v>
      </c>
      <c r="E689" s="76"/>
      <c r="F689" s="77"/>
      <c r="G689" s="78"/>
      <c r="H689" s="74"/>
    </row>
    <row r="690" spans="1:8" x14ac:dyDescent="0.2">
      <c r="A690" s="74"/>
      <c r="B690" s="74" t="s">
        <v>829</v>
      </c>
      <c r="C690" s="74"/>
      <c r="D690" s="76">
        <v>40</v>
      </c>
      <c r="E690" s="76"/>
      <c r="F690" s="77"/>
      <c r="G690" s="78"/>
      <c r="H690" s="74"/>
    </row>
    <row r="691" spans="1:8" x14ac:dyDescent="0.2">
      <c r="A691" s="74"/>
      <c r="B691" s="74" t="s">
        <v>1055</v>
      </c>
      <c r="C691" s="74" t="s">
        <v>1056</v>
      </c>
      <c r="D691" s="76">
        <v>28.8</v>
      </c>
      <c r="E691" s="76"/>
      <c r="F691" s="77"/>
      <c r="G691" s="78"/>
      <c r="H691" s="74"/>
    </row>
    <row r="692" spans="1:8" x14ac:dyDescent="0.2">
      <c r="A692" s="74"/>
      <c r="B692" s="74" t="s">
        <v>506</v>
      </c>
      <c r="C692" s="74"/>
      <c r="D692" s="76">
        <v>160</v>
      </c>
      <c r="E692" s="76"/>
      <c r="F692" s="77"/>
      <c r="G692" s="78"/>
      <c r="H692" s="74">
        <v>140.69</v>
      </c>
    </row>
    <row r="693" spans="1:8" x14ac:dyDescent="0.2">
      <c r="A693" s="74">
        <v>19437</v>
      </c>
      <c r="B693" s="74" t="s">
        <v>755</v>
      </c>
      <c r="C693" s="74" t="s">
        <v>20</v>
      </c>
      <c r="D693" s="76">
        <v>16</v>
      </c>
      <c r="E693" s="76"/>
      <c r="F693" s="77"/>
      <c r="G693" s="78">
        <v>19.5</v>
      </c>
      <c r="H693" s="74"/>
    </row>
    <row r="694" spans="1:8" x14ac:dyDescent="0.2">
      <c r="A694" s="74"/>
      <c r="B694" s="74" t="s">
        <v>1023</v>
      </c>
      <c r="C694" s="74" t="s">
        <v>1022</v>
      </c>
      <c r="D694" s="76">
        <v>9.75</v>
      </c>
      <c r="E694" s="76"/>
      <c r="F694" s="77"/>
      <c r="G694" s="78"/>
      <c r="H694" s="74"/>
    </row>
    <row r="695" spans="1:8" x14ac:dyDescent="0.2">
      <c r="A695" s="74"/>
      <c r="B695" s="74" t="s">
        <v>518</v>
      </c>
      <c r="C695" s="74" t="s">
        <v>519</v>
      </c>
      <c r="D695" s="76">
        <v>15</v>
      </c>
      <c r="E695" s="76"/>
      <c r="F695" s="77"/>
      <c r="G695" s="78"/>
      <c r="H695" s="74">
        <v>13</v>
      </c>
    </row>
    <row r="696" spans="1:8" x14ac:dyDescent="0.2">
      <c r="A696" s="74"/>
      <c r="B696" s="74" t="s">
        <v>656</v>
      </c>
      <c r="C696" s="74"/>
      <c r="D696" s="76">
        <v>94.8</v>
      </c>
      <c r="E696" s="76"/>
      <c r="F696" s="77"/>
      <c r="G696" s="78"/>
      <c r="H696" s="74"/>
    </row>
    <row r="697" spans="1:8" x14ac:dyDescent="0.2">
      <c r="A697" s="74"/>
      <c r="B697" s="74" t="s">
        <v>540</v>
      </c>
      <c r="C697" s="74" t="s">
        <v>541</v>
      </c>
      <c r="D697" s="76">
        <v>96</v>
      </c>
      <c r="E697" s="76"/>
      <c r="F697" s="77"/>
      <c r="G697" s="78"/>
      <c r="H697" s="74" t="s">
        <v>619</v>
      </c>
    </row>
    <row r="698" spans="1:8" x14ac:dyDescent="0.2">
      <c r="A698" s="74"/>
      <c r="B698" s="74" t="s">
        <v>556</v>
      </c>
      <c r="C698" s="74" t="s">
        <v>557</v>
      </c>
      <c r="D698" s="76">
        <v>19.8</v>
      </c>
      <c r="E698" s="76"/>
      <c r="F698" s="77"/>
      <c r="G698" s="78"/>
      <c r="H698" s="74">
        <v>18</v>
      </c>
    </row>
    <row r="699" spans="1:8" x14ac:dyDescent="0.2">
      <c r="A699" s="74"/>
      <c r="B699" s="74" t="s">
        <v>678</v>
      </c>
      <c r="C699" s="74"/>
      <c r="D699" s="76">
        <v>21</v>
      </c>
      <c r="E699" s="76"/>
      <c r="F699" s="77"/>
      <c r="G699" s="78">
        <v>20.5</v>
      </c>
      <c r="H699" s="74"/>
    </row>
    <row r="700" spans="1:8" x14ac:dyDescent="0.2">
      <c r="A700" s="74">
        <v>5201</v>
      </c>
      <c r="B700" s="74" t="s">
        <v>456</v>
      </c>
      <c r="C700" s="75" t="s">
        <v>462</v>
      </c>
      <c r="D700" s="76">
        <v>78</v>
      </c>
      <c r="E700" s="76"/>
      <c r="F700" s="77"/>
      <c r="G700" s="78">
        <v>61</v>
      </c>
      <c r="H700" s="74">
        <v>64.2</v>
      </c>
    </row>
    <row r="701" spans="1:8" x14ac:dyDescent="0.2">
      <c r="A701" s="74"/>
      <c r="B701" s="74" t="s">
        <v>505</v>
      </c>
      <c r="C701" s="74"/>
      <c r="D701" s="76">
        <v>62</v>
      </c>
      <c r="E701" s="76"/>
      <c r="F701" s="77"/>
      <c r="G701" s="78">
        <v>63</v>
      </c>
      <c r="H701" s="74">
        <v>64</v>
      </c>
    </row>
    <row r="702" spans="1:8" x14ac:dyDescent="0.2">
      <c r="A702" s="74"/>
      <c r="B702" s="74" t="s">
        <v>784</v>
      </c>
      <c r="C702" s="74"/>
      <c r="D702" s="76">
        <v>42</v>
      </c>
      <c r="E702" s="76"/>
      <c r="F702" s="77"/>
      <c r="G702" s="78"/>
      <c r="H702" s="74">
        <v>64</v>
      </c>
    </row>
    <row r="703" spans="1:8" x14ac:dyDescent="0.2">
      <c r="A703" s="74">
        <v>5204</v>
      </c>
      <c r="B703" s="74" t="s">
        <v>749</v>
      </c>
      <c r="C703" s="74"/>
      <c r="D703" s="76">
        <v>13</v>
      </c>
      <c r="E703" s="76"/>
      <c r="F703" s="77"/>
      <c r="G703" s="78"/>
      <c r="H703" s="74"/>
    </row>
    <row r="704" spans="1:8" x14ac:dyDescent="0.2">
      <c r="A704" s="74"/>
      <c r="B704" s="74" t="s">
        <v>832</v>
      </c>
      <c r="C704" s="75" t="s">
        <v>123</v>
      </c>
      <c r="D704" s="76">
        <v>11</v>
      </c>
      <c r="E704" s="76"/>
      <c r="F704" s="77"/>
      <c r="G704" s="78">
        <v>9.1999999999999993</v>
      </c>
      <c r="H704" s="74">
        <v>11.5</v>
      </c>
    </row>
    <row r="705" spans="1:256" x14ac:dyDescent="0.2">
      <c r="A705" s="74"/>
      <c r="B705" s="74" t="s">
        <v>1025</v>
      </c>
      <c r="C705" s="74" t="s">
        <v>1019</v>
      </c>
      <c r="D705" s="76">
        <v>13</v>
      </c>
      <c r="E705" s="76"/>
      <c r="F705" s="77"/>
      <c r="G705" s="78"/>
      <c r="H705" s="74"/>
    </row>
    <row r="706" spans="1:256" x14ac:dyDescent="0.2">
      <c r="A706" s="74"/>
      <c r="B706" s="74" t="s">
        <v>1026</v>
      </c>
      <c r="C706" s="74" t="s">
        <v>1019</v>
      </c>
      <c r="D706" s="76">
        <v>14</v>
      </c>
      <c r="E706" s="76"/>
      <c r="F706" s="77"/>
      <c r="G706" s="78"/>
      <c r="H706" s="74"/>
    </row>
    <row r="707" spans="1:256" x14ac:dyDescent="0.2">
      <c r="A707" s="74"/>
      <c r="B707" s="74" t="s">
        <v>1043</v>
      </c>
      <c r="C707" s="74" t="s">
        <v>1044</v>
      </c>
      <c r="D707" s="76">
        <v>17.75</v>
      </c>
      <c r="E707" s="76"/>
      <c r="F707" s="77"/>
      <c r="G707" s="78"/>
      <c r="H707" s="74"/>
      <c r="IV707">
        <f>SUM(A707:IU707)</f>
        <v>17.75</v>
      </c>
    </row>
    <row r="708" spans="1:256" x14ac:dyDescent="0.2">
      <c r="A708" s="74"/>
      <c r="B708" s="74" t="s">
        <v>789</v>
      </c>
      <c r="C708" s="74"/>
      <c r="D708" s="76">
        <v>1.48</v>
      </c>
      <c r="E708" s="76"/>
      <c r="F708" s="77"/>
      <c r="G708" s="78"/>
      <c r="H708" s="74"/>
    </row>
    <row r="709" spans="1:256" x14ac:dyDescent="0.2">
      <c r="A709" s="74">
        <v>46801</v>
      </c>
      <c r="B709" s="74" t="s">
        <v>449</v>
      </c>
      <c r="C709" s="74"/>
      <c r="D709" s="76">
        <v>1.48</v>
      </c>
      <c r="E709" s="76"/>
      <c r="F709" s="77"/>
      <c r="G709" s="78">
        <v>13.87</v>
      </c>
      <c r="H709" s="74"/>
    </row>
    <row r="710" spans="1:256" x14ac:dyDescent="0.2">
      <c r="A710" s="74"/>
      <c r="B710" s="74" t="s">
        <v>128</v>
      </c>
      <c r="C710" s="74"/>
      <c r="D710" s="76">
        <v>9</v>
      </c>
      <c r="E710" s="76"/>
      <c r="F710" s="77"/>
      <c r="G710" s="78"/>
      <c r="H710" s="74"/>
    </row>
    <row r="711" spans="1:256" x14ac:dyDescent="0.2">
      <c r="A711" s="74"/>
      <c r="B711" s="74" t="s">
        <v>614</v>
      </c>
      <c r="C711" s="74"/>
      <c r="D711" s="76">
        <v>40</v>
      </c>
      <c r="E711" s="76"/>
      <c r="F711" s="77"/>
      <c r="G711" s="78"/>
      <c r="H711" s="74"/>
    </row>
    <row r="712" spans="1:256" x14ac:dyDescent="0.2">
      <c r="A712" s="74"/>
      <c r="B712" s="74" t="s">
        <v>664</v>
      </c>
      <c r="C712" s="74"/>
      <c r="D712" s="76">
        <v>145</v>
      </c>
      <c r="E712" s="76"/>
      <c r="F712" s="77"/>
      <c r="G712" s="78"/>
      <c r="H712" s="74"/>
    </row>
    <row r="713" spans="1:256" x14ac:dyDescent="0.2">
      <c r="A713" s="74"/>
      <c r="B713" s="74" t="s">
        <v>813</v>
      </c>
      <c r="C713" s="74"/>
      <c r="D713" s="76">
        <v>170</v>
      </c>
      <c r="E713" s="76"/>
      <c r="F713" s="77"/>
      <c r="G713" s="78">
        <v>180</v>
      </c>
      <c r="H713" s="74"/>
    </row>
    <row r="714" spans="1:256" x14ac:dyDescent="0.2">
      <c r="A714" s="74">
        <v>46409</v>
      </c>
      <c r="B714" s="74" t="s">
        <v>781</v>
      </c>
      <c r="C714" s="74"/>
      <c r="D714" s="76">
        <v>28</v>
      </c>
      <c r="E714" s="76"/>
      <c r="F714" s="77"/>
      <c r="G714" s="78">
        <v>30</v>
      </c>
      <c r="H714" s="74" t="s">
        <v>748</v>
      </c>
    </row>
    <row r="715" spans="1:256" x14ac:dyDescent="0.2">
      <c r="A715" s="74"/>
      <c r="B715" s="74" t="s">
        <v>1065</v>
      </c>
      <c r="C715" s="74" t="s">
        <v>463</v>
      </c>
      <c r="D715" s="76">
        <v>22.5</v>
      </c>
      <c r="E715" s="76"/>
      <c r="F715" s="77"/>
      <c r="G715" s="78"/>
      <c r="H715" s="74"/>
    </row>
    <row r="716" spans="1:256" x14ac:dyDescent="0.2">
      <c r="A716" s="74"/>
      <c r="B716" s="74" t="s">
        <v>786</v>
      </c>
      <c r="C716" s="74"/>
      <c r="D716" s="76">
        <v>50</v>
      </c>
      <c r="E716" s="76"/>
      <c r="F716" s="77"/>
      <c r="G716" s="78"/>
      <c r="H716" s="74"/>
    </row>
    <row r="717" spans="1:256" x14ac:dyDescent="0.2">
      <c r="A717" s="74"/>
      <c r="B717" s="74" t="s">
        <v>822</v>
      </c>
      <c r="C717" s="74"/>
      <c r="D717" s="76">
        <v>21.75</v>
      </c>
      <c r="E717" s="76"/>
      <c r="F717" s="77"/>
      <c r="G717" s="78"/>
      <c r="H717" s="74"/>
    </row>
    <row r="718" spans="1:256" x14ac:dyDescent="0.2">
      <c r="A718" s="74"/>
      <c r="B718" s="74" t="s">
        <v>785</v>
      </c>
      <c r="C718" s="74" t="s">
        <v>533</v>
      </c>
      <c r="D718" s="76">
        <v>50</v>
      </c>
      <c r="E718" s="76"/>
      <c r="F718" s="77"/>
      <c r="G718" s="78"/>
      <c r="H718" s="74"/>
    </row>
    <row r="719" spans="1:256" x14ac:dyDescent="0.2">
      <c r="A719" s="74"/>
      <c r="B719" s="74" t="s">
        <v>823</v>
      </c>
      <c r="C719" s="74"/>
      <c r="D719" s="76">
        <v>21.5</v>
      </c>
      <c r="E719" s="76"/>
      <c r="F719" s="77"/>
      <c r="G719" s="78"/>
      <c r="H719" s="74"/>
    </row>
    <row r="720" spans="1:256" x14ac:dyDescent="0.2">
      <c r="A720" s="74"/>
      <c r="B720" s="74" t="s">
        <v>824</v>
      </c>
      <c r="C720" s="74"/>
      <c r="D720" s="76">
        <v>21.5</v>
      </c>
      <c r="E720" s="76"/>
      <c r="F720" s="77"/>
      <c r="G720" s="78"/>
      <c r="H720" s="74"/>
    </row>
    <row r="721" spans="1:8" x14ac:dyDescent="0.2">
      <c r="A721" s="74"/>
      <c r="B721" s="74" t="s">
        <v>609</v>
      </c>
      <c r="C721" s="74"/>
      <c r="D721" s="76">
        <v>4.5</v>
      </c>
      <c r="E721" s="76"/>
      <c r="F721" s="77"/>
      <c r="G721" s="78"/>
      <c r="H721" s="74">
        <v>33</v>
      </c>
    </row>
    <row r="722" spans="1:8" x14ac:dyDescent="0.2">
      <c r="A722" s="74"/>
      <c r="B722" s="74" t="s">
        <v>1027</v>
      </c>
      <c r="C722" s="74" t="s">
        <v>757</v>
      </c>
      <c r="D722" s="76">
        <v>4.3</v>
      </c>
      <c r="E722" s="76"/>
      <c r="F722" s="77"/>
      <c r="G722" s="78"/>
      <c r="H722" s="74"/>
    </row>
    <row r="723" spans="1:8" x14ac:dyDescent="0.2">
      <c r="A723" s="74"/>
      <c r="B723" s="74" t="s">
        <v>615</v>
      </c>
      <c r="C723" s="74"/>
      <c r="D723" s="76">
        <v>2.5</v>
      </c>
      <c r="E723" s="76"/>
      <c r="F723" s="77"/>
      <c r="G723" s="78"/>
      <c r="H723" s="74"/>
    </row>
    <row r="724" spans="1:8" x14ac:dyDescent="0.2">
      <c r="A724" s="74"/>
      <c r="B724" s="74" t="s">
        <v>665</v>
      </c>
      <c r="C724" s="74"/>
      <c r="D724" s="76">
        <v>4.5</v>
      </c>
      <c r="E724" s="76"/>
      <c r="F724" s="77"/>
      <c r="G724" s="78">
        <v>3.4</v>
      </c>
      <c r="H724" s="74"/>
    </row>
    <row r="725" spans="1:8" x14ac:dyDescent="0.2">
      <c r="A725" s="74"/>
      <c r="B725" s="74" t="s">
        <v>657</v>
      </c>
      <c r="C725" s="74"/>
      <c r="D725" s="76">
        <v>24</v>
      </c>
      <c r="E725" s="76"/>
      <c r="F725" s="77"/>
      <c r="G725" s="78"/>
      <c r="H725" s="74"/>
    </row>
    <row r="726" spans="1:8" x14ac:dyDescent="0.2">
      <c r="A726" s="74"/>
      <c r="B726" s="74" t="s">
        <v>815</v>
      </c>
      <c r="C726" s="74"/>
      <c r="D726" s="76">
        <v>36</v>
      </c>
      <c r="E726" s="76"/>
      <c r="F726" s="77"/>
      <c r="G726" s="78"/>
      <c r="H726" s="74"/>
    </row>
    <row r="727" spans="1:8" x14ac:dyDescent="0.2">
      <c r="A727" s="74"/>
      <c r="B727" s="74" t="s">
        <v>641</v>
      </c>
      <c r="C727" s="74" t="s">
        <v>463</v>
      </c>
      <c r="D727" s="76">
        <v>23</v>
      </c>
      <c r="E727" s="76"/>
      <c r="F727" s="77"/>
      <c r="G727" s="78"/>
      <c r="H727" s="74"/>
    </row>
    <row r="728" spans="1:8" x14ac:dyDescent="0.2">
      <c r="A728" s="74"/>
      <c r="B728" s="74" t="s">
        <v>701</v>
      </c>
      <c r="C728" s="74"/>
      <c r="D728" s="76">
        <v>25</v>
      </c>
      <c r="E728" s="76"/>
      <c r="F728" s="77"/>
      <c r="G728" s="78"/>
      <c r="H728" s="74"/>
    </row>
    <row r="729" spans="1:8" x14ac:dyDescent="0.2">
      <c r="A729" s="74"/>
      <c r="B729" s="74" t="s">
        <v>833</v>
      </c>
      <c r="C729" s="74"/>
      <c r="D729" s="76">
        <v>30</v>
      </c>
      <c r="E729" s="76"/>
      <c r="F729" s="77"/>
      <c r="G729" s="78"/>
      <c r="H729" s="74"/>
    </row>
    <row r="730" spans="1:8" x14ac:dyDescent="0.2">
      <c r="A730" s="74"/>
      <c r="B730" s="75" t="s">
        <v>914</v>
      </c>
      <c r="C730" s="74"/>
      <c r="D730" s="76">
        <v>19</v>
      </c>
      <c r="E730" s="76"/>
      <c r="F730" s="77"/>
      <c r="G730" s="78"/>
      <c r="H730" s="74"/>
    </row>
    <row r="731" spans="1:8" x14ac:dyDescent="0.2">
      <c r="A731" s="74">
        <v>846348</v>
      </c>
      <c r="B731" s="74" t="s">
        <v>504</v>
      </c>
      <c r="C731" s="74"/>
      <c r="D731" s="76">
        <v>7.98</v>
      </c>
      <c r="E731" s="76"/>
      <c r="F731" s="77"/>
      <c r="G731" s="78"/>
      <c r="H731" s="74"/>
    </row>
    <row r="732" spans="1:8" x14ac:dyDescent="0.2">
      <c r="A732" s="74"/>
      <c r="B732" s="74" t="s">
        <v>601</v>
      </c>
      <c r="C732" s="74" t="s">
        <v>463</v>
      </c>
      <c r="D732" s="76">
        <v>28</v>
      </c>
      <c r="E732" s="76"/>
      <c r="F732" s="77"/>
      <c r="G732" s="78"/>
      <c r="H732" s="74"/>
    </row>
    <row r="733" spans="1:8" x14ac:dyDescent="0.2">
      <c r="A733" s="74">
        <v>24517</v>
      </c>
      <c r="B733" s="74" t="s">
        <v>464</v>
      </c>
      <c r="C733" s="74"/>
      <c r="D733" s="76">
        <v>160.07</v>
      </c>
      <c r="E733" s="76"/>
      <c r="F733" s="77"/>
      <c r="G733" s="78"/>
      <c r="H733" s="74"/>
    </row>
    <row r="734" spans="1:8" x14ac:dyDescent="0.2">
      <c r="A734" s="74"/>
      <c r="B734" s="75" t="s">
        <v>915</v>
      </c>
      <c r="C734" s="74"/>
      <c r="D734" s="76">
        <v>2.8</v>
      </c>
      <c r="E734" s="76"/>
      <c r="F734" s="77"/>
      <c r="G734" s="78"/>
      <c r="H734" s="74"/>
    </row>
    <row r="735" spans="1:8" x14ac:dyDescent="0.2">
      <c r="A735" s="74"/>
      <c r="B735" s="74" t="s">
        <v>145</v>
      </c>
      <c r="C735" s="74" t="s">
        <v>20</v>
      </c>
      <c r="D735" s="76">
        <v>5.4</v>
      </c>
      <c r="E735" s="76"/>
      <c r="F735" s="77"/>
      <c r="G735" s="78"/>
      <c r="H735" s="74"/>
    </row>
    <row r="736" spans="1:8" x14ac:dyDescent="0.2">
      <c r="A736" s="74">
        <v>12362</v>
      </c>
      <c r="B736" s="74" t="s">
        <v>447</v>
      </c>
      <c r="C736" s="74"/>
      <c r="D736" s="76">
        <v>3.9</v>
      </c>
      <c r="E736" s="76"/>
      <c r="F736" s="77"/>
      <c r="G736" s="78">
        <v>2.9</v>
      </c>
      <c r="H736" s="74">
        <v>3.2</v>
      </c>
    </row>
    <row r="737" spans="1:8" x14ac:dyDescent="0.2">
      <c r="A737" s="74">
        <v>12382</v>
      </c>
      <c r="B737" s="74" t="s">
        <v>539</v>
      </c>
      <c r="C737" s="74"/>
      <c r="D737" s="76">
        <v>11</v>
      </c>
      <c r="E737" s="76"/>
      <c r="F737" s="77"/>
      <c r="G737" s="78">
        <v>9.9</v>
      </c>
      <c r="H737" s="74">
        <v>9.3000000000000007</v>
      </c>
    </row>
    <row r="738" spans="1:8" x14ac:dyDescent="0.2">
      <c r="A738" s="74"/>
      <c r="B738" s="74" t="s">
        <v>538</v>
      </c>
      <c r="C738" s="74"/>
      <c r="D738" s="76">
        <v>8.9</v>
      </c>
      <c r="E738" s="76"/>
      <c r="F738" s="77"/>
      <c r="G738" s="78"/>
      <c r="H738" s="74"/>
    </row>
    <row r="739" spans="1:8" x14ac:dyDescent="0.2">
      <c r="A739" s="74"/>
      <c r="B739" s="74" t="s">
        <v>260</v>
      </c>
      <c r="C739" s="74">
        <v>1000</v>
      </c>
      <c r="D739" s="76">
        <v>17.5</v>
      </c>
      <c r="E739" s="76"/>
      <c r="F739" s="77"/>
      <c r="G739" s="78"/>
      <c r="H739" s="74"/>
    </row>
    <row r="740" spans="1:8" x14ac:dyDescent="0.2">
      <c r="A740" s="74"/>
      <c r="B740" s="74" t="s">
        <v>679</v>
      </c>
      <c r="C740" s="74"/>
      <c r="D740" s="76">
        <v>3.5</v>
      </c>
      <c r="E740" s="76"/>
      <c r="F740" s="77"/>
      <c r="G740" s="78"/>
      <c r="H740" s="74"/>
    </row>
    <row r="741" spans="1:8" x14ac:dyDescent="0.2">
      <c r="A741" s="74"/>
      <c r="B741" s="74" t="s">
        <v>631</v>
      </c>
      <c r="C741" s="74"/>
      <c r="D741" s="76">
        <v>13.5</v>
      </c>
      <c r="E741" s="76"/>
      <c r="F741" s="77"/>
      <c r="G741" s="78"/>
      <c r="H741" s="74"/>
    </row>
    <row r="742" spans="1:8" x14ac:dyDescent="0.2">
      <c r="A742" s="74"/>
      <c r="B742" s="74" t="s">
        <v>790</v>
      </c>
      <c r="C742" s="75" t="s">
        <v>462</v>
      </c>
      <c r="D742" s="76">
        <v>40</v>
      </c>
      <c r="E742" s="76"/>
      <c r="F742" s="77"/>
      <c r="G742" s="78"/>
      <c r="H742" s="74"/>
    </row>
    <row r="743" spans="1:8" x14ac:dyDescent="0.2">
      <c r="A743" s="74"/>
      <c r="B743" s="74" t="s">
        <v>1028</v>
      </c>
      <c r="C743" s="75" t="s">
        <v>1029</v>
      </c>
      <c r="D743" s="76">
        <v>20</v>
      </c>
      <c r="E743" s="76"/>
      <c r="F743" s="77"/>
      <c r="G743" s="78"/>
      <c r="H743" s="74"/>
    </row>
    <row r="744" spans="1:8" x14ac:dyDescent="0.2">
      <c r="A744" s="74"/>
      <c r="B744" s="74" t="s">
        <v>521</v>
      </c>
      <c r="C744" s="74" t="s">
        <v>519</v>
      </c>
      <c r="D744" s="76">
        <v>60</v>
      </c>
      <c r="E744" s="76"/>
      <c r="F744" s="77"/>
      <c r="G744" s="78"/>
      <c r="H744" s="74">
        <v>61</v>
      </c>
    </row>
    <row r="745" spans="1:8" x14ac:dyDescent="0.2">
      <c r="A745" s="74"/>
      <c r="B745" s="74" t="s">
        <v>623</v>
      </c>
      <c r="C745" s="74"/>
      <c r="D745" s="76">
        <v>17</v>
      </c>
      <c r="E745" s="76"/>
      <c r="F745" s="77"/>
      <c r="G745" s="78"/>
      <c r="H745" s="74"/>
    </row>
    <row r="746" spans="1:8" x14ac:dyDescent="0.2">
      <c r="A746" s="74"/>
      <c r="B746" s="74" t="s">
        <v>629</v>
      </c>
      <c r="C746" s="74"/>
      <c r="D746" s="76">
        <v>65</v>
      </c>
      <c r="E746" s="76"/>
      <c r="F746" s="77"/>
      <c r="G746" s="78">
        <v>58</v>
      </c>
      <c r="H746" s="74"/>
    </row>
    <row r="747" spans="1:8" x14ac:dyDescent="0.2">
      <c r="A747" s="74"/>
      <c r="B747" s="74" t="s">
        <v>535</v>
      </c>
      <c r="C747" s="74" t="s">
        <v>536</v>
      </c>
      <c r="D747" s="76">
        <v>16</v>
      </c>
      <c r="E747" s="76"/>
      <c r="F747" s="77"/>
      <c r="G747" s="78"/>
      <c r="H747" s="74">
        <v>14.8</v>
      </c>
    </row>
    <row r="748" spans="1:8" x14ac:dyDescent="0.2">
      <c r="A748" s="74"/>
      <c r="B748" s="74" t="s">
        <v>542</v>
      </c>
      <c r="C748" s="74" t="s">
        <v>543</v>
      </c>
      <c r="D748" s="76">
        <v>62</v>
      </c>
      <c r="E748" s="76"/>
      <c r="F748" s="77"/>
      <c r="G748" s="78"/>
      <c r="H748" s="74"/>
    </row>
    <row r="749" spans="1:8" x14ac:dyDescent="0.2">
      <c r="A749" s="74"/>
      <c r="B749" s="74" t="s">
        <v>1030</v>
      </c>
      <c r="C749" s="74">
        <v>2.5</v>
      </c>
      <c r="D749" s="76">
        <v>20</v>
      </c>
      <c r="E749" s="76"/>
      <c r="F749" s="77"/>
      <c r="G749" s="78">
        <v>14</v>
      </c>
      <c r="H749" s="74">
        <v>16</v>
      </c>
    </row>
    <row r="750" spans="1:8" x14ac:dyDescent="0.2">
      <c r="A750" s="74">
        <v>92371</v>
      </c>
      <c r="B750" s="74" t="s">
        <v>465</v>
      </c>
      <c r="C750" s="74"/>
      <c r="D750" s="76">
        <v>15</v>
      </c>
      <c r="E750" s="76"/>
      <c r="F750" s="77"/>
      <c r="G750" s="78"/>
      <c r="H750" s="74"/>
    </row>
    <row r="751" spans="1:8" x14ac:dyDescent="0.2">
      <c r="A751" s="74"/>
      <c r="B751" s="74" t="s">
        <v>830</v>
      </c>
      <c r="C751" s="75" t="s">
        <v>462</v>
      </c>
      <c r="D751" s="76">
        <v>35</v>
      </c>
      <c r="E751" s="76"/>
      <c r="F751" s="77"/>
      <c r="G751" s="78">
        <v>11</v>
      </c>
      <c r="H751" s="74"/>
    </row>
    <row r="752" spans="1:8" x14ac:dyDescent="0.2">
      <c r="A752" s="74"/>
      <c r="B752" s="74" t="s">
        <v>1031</v>
      </c>
      <c r="C752" s="74" t="s">
        <v>462</v>
      </c>
      <c r="D752" s="76">
        <v>36</v>
      </c>
      <c r="E752" s="76"/>
      <c r="F752" s="77"/>
      <c r="G752" s="78"/>
      <c r="H752" s="74"/>
    </row>
    <row r="753" spans="1:9" x14ac:dyDescent="0.2">
      <c r="A753" s="74"/>
      <c r="B753" s="75" t="s">
        <v>916</v>
      </c>
      <c r="C753" s="75" t="s">
        <v>917</v>
      </c>
      <c r="D753" s="76">
        <v>9.3000000000000007</v>
      </c>
      <c r="E753" s="76"/>
      <c r="F753" s="77"/>
      <c r="G753" s="78"/>
      <c r="H753" s="74"/>
    </row>
    <row r="754" spans="1:9" x14ac:dyDescent="0.2">
      <c r="A754" s="74"/>
      <c r="B754" s="74" t="s">
        <v>834</v>
      </c>
      <c r="C754" s="74"/>
      <c r="D754" s="76">
        <v>14.5</v>
      </c>
      <c r="E754" s="76"/>
      <c r="F754" s="77"/>
      <c r="G754" s="78"/>
      <c r="H754" s="74"/>
    </row>
    <row r="755" spans="1:9" x14ac:dyDescent="0.2">
      <c r="A755" s="74"/>
      <c r="B755" s="75" t="s">
        <v>919</v>
      </c>
      <c r="C755" s="75" t="s">
        <v>917</v>
      </c>
      <c r="D755" s="76">
        <v>9.3000000000000007</v>
      </c>
      <c r="E755" s="76"/>
      <c r="F755" s="77"/>
      <c r="G755" s="78"/>
      <c r="H755" s="74"/>
    </row>
    <row r="756" spans="1:9" x14ac:dyDescent="0.2">
      <c r="A756" s="74"/>
      <c r="B756" s="75" t="s">
        <v>920</v>
      </c>
      <c r="C756" s="75" t="s">
        <v>917</v>
      </c>
      <c r="D756" s="76">
        <v>9.3000000000000007</v>
      </c>
      <c r="E756" s="76"/>
      <c r="F756" s="77"/>
      <c r="G756" s="78"/>
      <c r="H756" s="74"/>
    </row>
    <row r="757" spans="1:9" x14ac:dyDescent="0.2">
      <c r="A757" s="74"/>
      <c r="B757" s="75" t="s">
        <v>918</v>
      </c>
      <c r="C757" s="75" t="s">
        <v>917</v>
      </c>
      <c r="D757" s="76">
        <v>10.5</v>
      </c>
      <c r="E757" s="76"/>
      <c r="F757" s="77"/>
      <c r="G757" s="78"/>
      <c r="H757" s="74"/>
    </row>
    <row r="758" spans="1:9" x14ac:dyDescent="0.2">
      <c r="A758" s="74"/>
      <c r="B758" s="74" t="s">
        <v>680</v>
      </c>
      <c r="C758" s="74"/>
      <c r="D758" s="76">
        <v>28.5</v>
      </c>
      <c r="E758" s="76"/>
      <c r="F758" s="77"/>
      <c r="G758" s="78"/>
      <c r="H758" s="74"/>
    </row>
    <row r="759" spans="1:9" x14ac:dyDescent="0.2">
      <c r="A759" s="74"/>
      <c r="B759" s="75" t="s">
        <v>1032</v>
      </c>
      <c r="C759" s="75" t="s">
        <v>516</v>
      </c>
      <c r="D759" s="76">
        <v>83</v>
      </c>
      <c r="E759" s="76"/>
      <c r="F759" s="77"/>
      <c r="G759" s="78"/>
      <c r="H759" s="74"/>
    </row>
    <row r="760" spans="1:9" x14ac:dyDescent="0.2">
      <c r="A760" s="74"/>
      <c r="B760" s="74" t="s">
        <v>835</v>
      </c>
      <c r="C760" s="74" t="s">
        <v>20</v>
      </c>
      <c r="D760" s="76">
        <v>33</v>
      </c>
      <c r="E760" s="76"/>
      <c r="F760" s="77"/>
      <c r="G760" s="78"/>
      <c r="H760" s="74"/>
    </row>
    <row r="761" spans="1:9" x14ac:dyDescent="0.2">
      <c r="A761" s="74">
        <v>78482</v>
      </c>
      <c r="B761" s="74" t="s">
        <v>448</v>
      </c>
      <c r="C761" s="74"/>
      <c r="D761" s="76">
        <v>64.12</v>
      </c>
      <c r="E761" s="76"/>
      <c r="F761" s="77"/>
      <c r="G761" s="78"/>
      <c r="H761" s="74"/>
    </row>
    <row r="762" spans="1:9" x14ac:dyDescent="0.2">
      <c r="A762" s="74"/>
      <c r="B762" s="74" t="s">
        <v>180</v>
      </c>
      <c r="C762" s="74" t="s">
        <v>461</v>
      </c>
      <c r="D762" s="76">
        <v>22</v>
      </c>
      <c r="E762" s="76"/>
      <c r="F762" s="77"/>
      <c r="G762" s="78">
        <v>18</v>
      </c>
      <c r="H762" s="74" t="s">
        <v>681</v>
      </c>
    </row>
    <row r="763" spans="1:9" x14ac:dyDescent="0.2">
      <c r="A763" s="74"/>
      <c r="B763" s="75" t="s">
        <v>836</v>
      </c>
      <c r="C763" s="75"/>
      <c r="D763" s="80">
        <v>25.5</v>
      </c>
      <c r="E763" s="80"/>
      <c r="F763" s="81"/>
      <c r="G763" s="82"/>
      <c r="H763" s="75"/>
      <c r="I763" s="40"/>
    </row>
    <row r="764" spans="1:9" x14ac:dyDescent="0.2">
      <c r="A764" s="74"/>
      <c r="B764" s="75" t="s">
        <v>628</v>
      </c>
      <c r="C764" s="75"/>
      <c r="D764" s="80">
        <v>26</v>
      </c>
      <c r="E764" s="80"/>
      <c r="F764" s="81"/>
      <c r="G764" s="82"/>
      <c r="H764" s="75"/>
      <c r="I764" s="40"/>
    </row>
    <row r="765" spans="1:9" x14ac:dyDescent="0.2">
      <c r="A765" s="74"/>
      <c r="B765" s="74" t="s">
        <v>537</v>
      </c>
      <c r="C765" s="74" t="s">
        <v>463</v>
      </c>
      <c r="D765" s="76">
        <v>16</v>
      </c>
      <c r="E765" s="76"/>
      <c r="F765" s="77"/>
      <c r="G765" s="78"/>
      <c r="H765" s="74">
        <v>18</v>
      </c>
    </row>
    <row r="766" spans="1:9" x14ac:dyDescent="0.2">
      <c r="A766" s="74"/>
      <c r="B766" s="74" t="s">
        <v>515</v>
      </c>
      <c r="C766" s="74" t="s">
        <v>516</v>
      </c>
      <c r="D766" s="76">
        <v>138</v>
      </c>
      <c r="E766" s="76"/>
      <c r="F766" s="77"/>
      <c r="G766" s="78"/>
      <c r="H766" s="74"/>
    </row>
    <row r="767" spans="1:9" s="40" customFormat="1" ht="18" customHeight="1" x14ac:dyDescent="0.2">
      <c r="A767" s="74"/>
      <c r="B767" s="75" t="s">
        <v>921</v>
      </c>
      <c r="C767" s="75" t="s">
        <v>516</v>
      </c>
      <c r="D767" s="76">
        <v>47</v>
      </c>
      <c r="E767" s="76"/>
      <c r="F767" s="77"/>
      <c r="G767" s="78"/>
      <c r="H767" s="74"/>
      <c r="I767"/>
    </row>
    <row r="768" spans="1:9" s="40" customFormat="1" ht="18" customHeight="1" x14ac:dyDescent="0.2">
      <c r="A768" s="74"/>
      <c r="B768" s="75" t="s">
        <v>756</v>
      </c>
      <c r="C768" s="75" t="s">
        <v>20</v>
      </c>
      <c r="D768" s="76">
        <v>45</v>
      </c>
      <c r="E768" s="76"/>
      <c r="F768" s="77"/>
      <c r="G768" s="78">
        <v>52</v>
      </c>
      <c r="H768" s="74"/>
      <c r="I768"/>
    </row>
    <row r="769" spans="1:8" x14ac:dyDescent="0.2">
      <c r="A769" s="74"/>
      <c r="B769" s="74" t="s">
        <v>1057</v>
      </c>
      <c r="C769" s="74" t="s">
        <v>1058</v>
      </c>
      <c r="D769" s="76">
        <v>7.15</v>
      </c>
      <c r="E769" s="76"/>
      <c r="F769" s="77"/>
      <c r="G769" s="78"/>
      <c r="H769" s="74"/>
    </row>
    <row r="770" spans="1:8" x14ac:dyDescent="0.2">
      <c r="A770" s="74"/>
      <c r="B770" s="75" t="s">
        <v>922</v>
      </c>
      <c r="C770" s="75" t="s">
        <v>516</v>
      </c>
      <c r="D770" s="76">
        <v>47</v>
      </c>
      <c r="E770" s="76"/>
      <c r="F770" s="77"/>
      <c r="G770" s="78"/>
      <c r="H770" s="74"/>
    </row>
    <row r="771" spans="1:8" x14ac:dyDescent="0.2">
      <c r="A771" s="75"/>
      <c r="B771" s="74" t="s">
        <v>747</v>
      </c>
      <c r="C771" s="74" t="s">
        <v>20</v>
      </c>
      <c r="D771" s="76">
        <v>3</v>
      </c>
      <c r="E771" s="76"/>
      <c r="F771" s="77"/>
      <c r="G771" s="78">
        <v>4.8</v>
      </c>
      <c r="H771" s="74">
        <v>5.4</v>
      </c>
    </row>
    <row r="772" spans="1:8" x14ac:dyDescent="0.2">
      <c r="A772" s="74"/>
      <c r="B772" s="75" t="s">
        <v>923</v>
      </c>
      <c r="C772" s="74"/>
      <c r="D772" s="76">
        <v>5.9</v>
      </c>
      <c r="E772" s="76"/>
      <c r="F772" s="77"/>
      <c r="G772" s="78"/>
      <c r="H772" s="74"/>
    </row>
    <row r="773" spans="1:8" x14ac:dyDescent="0.2">
      <c r="A773" s="74"/>
      <c r="B773" s="75" t="s">
        <v>924</v>
      </c>
      <c r="C773" s="74"/>
      <c r="D773" s="76">
        <v>5.9</v>
      </c>
      <c r="E773" s="76"/>
      <c r="F773" s="77"/>
      <c r="G773" s="78"/>
      <c r="H773" s="74"/>
    </row>
    <row r="774" spans="1:8" x14ac:dyDescent="0.2">
      <c r="A774" s="74"/>
      <c r="B774" s="74" t="s">
        <v>787</v>
      </c>
      <c r="C774" s="74"/>
      <c r="D774" s="76">
        <v>24</v>
      </c>
      <c r="E774" s="76"/>
      <c r="F774" s="77"/>
      <c r="G774" s="78">
        <v>25</v>
      </c>
      <c r="H774" s="74"/>
    </row>
    <row r="775" spans="1:8" x14ac:dyDescent="0.2">
      <c r="A775" s="74"/>
      <c r="B775" s="74" t="s">
        <v>131</v>
      </c>
      <c r="C775" s="74"/>
      <c r="D775" s="76">
        <v>20.7</v>
      </c>
      <c r="E775" s="76"/>
      <c r="F775" s="77"/>
      <c r="G775" s="78"/>
      <c r="H775" s="74"/>
    </row>
    <row r="776" spans="1:8" x14ac:dyDescent="0.2">
      <c r="A776" s="74"/>
      <c r="B776" s="74" t="s">
        <v>837</v>
      </c>
      <c r="C776" s="74" t="s">
        <v>554</v>
      </c>
      <c r="D776" s="76">
        <v>60</v>
      </c>
      <c r="E776" s="76"/>
      <c r="F776" s="77"/>
      <c r="G776" s="78">
        <v>62</v>
      </c>
      <c r="H776" s="74"/>
    </row>
    <row r="777" spans="1:8" x14ac:dyDescent="0.2">
      <c r="A777" s="74"/>
      <c r="B777" s="74" t="s">
        <v>522</v>
      </c>
      <c r="C777" s="74" t="s">
        <v>523</v>
      </c>
      <c r="D777" s="76">
        <v>35.57</v>
      </c>
      <c r="E777" s="76"/>
      <c r="F777" s="77"/>
      <c r="G777" s="78"/>
      <c r="H777" s="74"/>
    </row>
    <row r="778" spans="1:8" x14ac:dyDescent="0.2">
      <c r="A778" s="74"/>
      <c r="B778" s="74" t="s">
        <v>808</v>
      </c>
      <c r="C778" s="74" t="s">
        <v>20</v>
      </c>
      <c r="D778" s="76">
        <v>27</v>
      </c>
      <c r="E778" s="76"/>
      <c r="F778" s="77"/>
      <c r="G778" s="78"/>
      <c r="H778" s="74"/>
    </row>
    <row r="779" spans="1:8" x14ac:dyDescent="0.2">
      <c r="A779" s="74"/>
      <c r="B779" s="74" t="s">
        <v>1033</v>
      </c>
      <c r="C779" s="74" t="s">
        <v>463</v>
      </c>
      <c r="D779" s="76">
        <v>70</v>
      </c>
      <c r="E779" s="76"/>
      <c r="F779" s="77"/>
      <c r="G779" s="78"/>
      <c r="H779" s="74"/>
    </row>
    <row r="780" spans="1:8" x14ac:dyDescent="0.2">
      <c r="A780" s="74"/>
      <c r="B780" s="74" t="s">
        <v>682</v>
      </c>
      <c r="C780" s="74" t="s">
        <v>463</v>
      </c>
      <c r="D780" s="76">
        <v>14</v>
      </c>
      <c r="E780" s="76"/>
      <c r="F780" s="77"/>
      <c r="G780" s="78"/>
      <c r="H780" s="74"/>
    </row>
    <row r="781" spans="1:8" x14ac:dyDescent="0.2">
      <c r="A781" s="74"/>
      <c r="B781" s="74" t="s">
        <v>612</v>
      </c>
      <c r="C781" s="74"/>
      <c r="D781" s="76">
        <v>15</v>
      </c>
      <c r="E781" s="76"/>
      <c r="F781" s="77"/>
      <c r="G781" s="78"/>
      <c r="H781" s="74" t="s">
        <v>616</v>
      </c>
    </row>
    <row r="782" spans="1:8" x14ac:dyDescent="0.2">
      <c r="A782" s="74"/>
      <c r="B782" s="74" t="s">
        <v>683</v>
      </c>
      <c r="C782" s="74" t="s">
        <v>463</v>
      </c>
      <c r="D782" s="76">
        <v>5.3</v>
      </c>
      <c r="E782" s="76"/>
      <c r="F782" s="77"/>
      <c r="G782" s="78"/>
      <c r="H782" s="74"/>
    </row>
    <row r="783" spans="1:8" x14ac:dyDescent="0.2">
      <c r="A783" s="74">
        <v>29243</v>
      </c>
      <c r="B783" s="74" t="s">
        <v>503</v>
      </c>
      <c r="C783" s="74"/>
      <c r="D783" s="76">
        <v>15</v>
      </c>
      <c r="E783" s="76"/>
      <c r="F783" s="77"/>
      <c r="G783" s="78"/>
      <c r="H783" s="74">
        <v>16.3</v>
      </c>
    </row>
    <row r="784" spans="1:8" x14ac:dyDescent="0.2">
      <c r="A784" s="74"/>
      <c r="B784" s="74" t="s">
        <v>1034</v>
      </c>
      <c r="C784" s="74" t="s">
        <v>1022</v>
      </c>
      <c r="D784" s="76">
        <v>17.5</v>
      </c>
      <c r="E784" s="76"/>
      <c r="F784" s="77"/>
      <c r="G784" s="78"/>
      <c r="H784" s="74"/>
    </row>
    <row r="785" spans="1:9" x14ac:dyDescent="0.2">
      <c r="A785" s="74"/>
      <c r="B785" s="74" t="s">
        <v>658</v>
      </c>
      <c r="C785" s="74"/>
      <c r="D785" s="76">
        <v>13.5</v>
      </c>
      <c r="E785" s="76"/>
      <c r="F785" s="77"/>
      <c r="G785" s="78"/>
      <c r="H785" s="74"/>
    </row>
    <row r="786" spans="1:9" x14ac:dyDescent="0.2">
      <c r="A786" s="74"/>
      <c r="B786" s="74" t="s">
        <v>850</v>
      </c>
      <c r="C786" s="74"/>
      <c r="D786" s="76">
        <v>17.95</v>
      </c>
      <c r="E786" s="76"/>
      <c r="F786" s="77"/>
      <c r="G786" s="78"/>
      <c r="H786" s="74"/>
    </row>
    <row r="787" spans="1:9" x14ac:dyDescent="0.2">
      <c r="A787" s="74"/>
      <c r="B787" s="74" t="s">
        <v>839</v>
      </c>
      <c r="C787" s="74"/>
      <c r="D787" s="76">
        <v>12.8</v>
      </c>
      <c r="E787" s="76"/>
      <c r="F787" s="77"/>
      <c r="G787" s="78"/>
      <c r="H787" s="74"/>
    </row>
    <row r="788" spans="1:9" x14ac:dyDescent="0.2">
      <c r="A788" s="74"/>
      <c r="B788" s="74" t="s">
        <v>838</v>
      </c>
      <c r="C788" s="74"/>
      <c r="D788" s="76">
        <v>110</v>
      </c>
      <c r="E788" s="76"/>
      <c r="F788" s="77"/>
      <c r="G788" s="78">
        <v>108</v>
      </c>
      <c r="H788" s="74">
        <v>120</v>
      </c>
    </row>
    <row r="789" spans="1:9" x14ac:dyDescent="0.2">
      <c r="A789" s="74"/>
      <c r="B789" s="74" t="s">
        <v>659</v>
      </c>
      <c r="C789" s="74"/>
      <c r="D789" s="76">
        <v>50</v>
      </c>
      <c r="E789" s="76"/>
      <c r="F789" s="77"/>
      <c r="G789" s="78">
        <v>16</v>
      </c>
      <c r="H789" s="74"/>
    </row>
    <row r="790" spans="1:9" x14ac:dyDescent="0.2">
      <c r="A790" s="74"/>
      <c r="B790" s="74" t="s">
        <v>1010</v>
      </c>
      <c r="C790" s="74" t="s">
        <v>463</v>
      </c>
      <c r="D790" s="76">
        <v>4.5999999999999996</v>
      </c>
      <c r="E790" s="76"/>
      <c r="F790" s="77"/>
      <c r="G790" s="78"/>
      <c r="H790" s="74"/>
    </row>
    <row r="791" spans="1:9" x14ac:dyDescent="0.2">
      <c r="A791" s="74">
        <v>12316</v>
      </c>
      <c r="B791" s="74" t="s">
        <v>451</v>
      </c>
      <c r="C791" s="74"/>
      <c r="D791" s="76">
        <v>2.2000000000000002</v>
      </c>
      <c r="E791" s="76"/>
      <c r="F791" s="77"/>
      <c r="G791" s="78">
        <v>2.2999999999999998</v>
      </c>
      <c r="H791" s="74" t="s">
        <v>684</v>
      </c>
      <c r="I791">
        <v>3</v>
      </c>
    </row>
    <row r="792" spans="1:9" x14ac:dyDescent="0.2">
      <c r="A792" s="74"/>
      <c r="B792" s="74" t="s">
        <v>602</v>
      </c>
      <c r="C792" s="74"/>
      <c r="D792" s="76">
        <v>4.37</v>
      </c>
      <c r="E792" s="76"/>
      <c r="F792" s="77"/>
      <c r="G792" s="78"/>
      <c r="H792" s="74"/>
    </row>
    <row r="793" spans="1:9" x14ac:dyDescent="0.2">
      <c r="A793" s="74"/>
      <c r="B793" s="74" t="s">
        <v>685</v>
      </c>
      <c r="C793" s="74"/>
      <c r="D793" s="76">
        <v>33</v>
      </c>
      <c r="E793" s="76"/>
      <c r="F793" s="77"/>
      <c r="G793" s="78">
        <v>31</v>
      </c>
      <c r="H793" s="74"/>
    </row>
    <row r="794" spans="1:9" x14ac:dyDescent="0.2">
      <c r="A794" s="74"/>
      <c r="B794" s="74" t="s">
        <v>1011</v>
      </c>
      <c r="C794" s="74" t="s">
        <v>1012</v>
      </c>
      <c r="D794" s="76">
        <v>242</v>
      </c>
      <c r="E794" s="76"/>
      <c r="F794" s="77"/>
      <c r="G794" s="78"/>
      <c r="H794" s="74"/>
    </row>
    <row r="795" spans="1:9" x14ac:dyDescent="0.2">
      <c r="A795" s="74"/>
      <c r="B795" s="74" t="s">
        <v>611</v>
      </c>
      <c r="C795" s="74"/>
      <c r="D795" s="76">
        <v>32</v>
      </c>
      <c r="E795" s="76"/>
      <c r="F795" s="77"/>
      <c r="G795" s="78">
        <v>40</v>
      </c>
      <c r="H795" s="74"/>
    </row>
    <row r="796" spans="1:9" x14ac:dyDescent="0.2">
      <c r="A796" s="74"/>
      <c r="B796" s="74" t="s">
        <v>566</v>
      </c>
      <c r="C796" s="74"/>
      <c r="D796" s="76">
        <v>41.2</v>
      </c>
      <c r="E796" s="76"/>
      <c r="F796" s="77"/>
      <c r="G796" s="78"/>
      <c r="H796" s="74"/>
    </row>
    <row r="797" spans="1:9" x14ac:dyDescent="0.2">
      <c r="A797" s="74"/>
      <c r="B797" s="74" t="s">
        <v>558</v>
      </c>
      <c r="C797" s="74"/>
      <c r="D797" s="76">
        <v>66</v>
      </c>
      <c r="E797" s="76"/>
      <c r="F797" s="77"/>
      <c r="G797" s="78"/>
      <c r="H797" s="74"/>
    </row>
    <row r="798" spans="1:9" x14ac:dyDescent="0.2">
      <c r="A798" s="74"/>
      <c r="B798" s="74" t="s">
        <v>524</v>
      </c>
      <c r="C798" s="74"/>
      <c r="D798" s="76">
        <v>69</v>
      </c>
      <c r="E798" s="76"/>
      <c r="F798" s="77"/>
      <c r="G798" s="78"/>
      <c r="H798" s="74"/>
    </row>
    <row r="799" spans="1:9" x14ac:dyDescent="0.2">
      <c r="A799" s="74"/>
      <c r="B799" s="74" t="s">
        <v>603</v>
      </c>
      <c r="C799" s="74"/>
      <c r="D799" s="76">
        <v>22.5</v>
      </c>
      <c r="E799" s="76"/>
      <c r="F799" s="77"/>
      <c r="G799" s="78"/>
      <c r="H799" s="74"/>
    </row>
    <row r="800" spans="1:9" x14ac:dyDescent="0.2">
      <c r="A800" s="74"/>
      <c r="B800" s="74" t="s">
        <v>791</v>
      </c>
      <c r="C800" s="74"/>
      <c r="D800" s="76">
        <v>12</v>
      </c>
      <c r="E800" s="76"/>
      <c r="F800" s="77"/>
      <c r="G800" s="78">
        <v>13.2</v>
      </c>
      <c r="H800" s="74">
        <v>16.899999999999999</v>
      </c>
    </row>
    <row r="801" spans="1:14" x14ac:dyDescent="0.2">
      <c r="A801" s="74"/>
      <c r="B801" s="74" t="s">
        <v>545</v>
      </c>
      <c r="C801" s="74" t="s">
        <v>646</v>
      </c>
      <c r="D801" s="76">
        <v>52</v>
      </c>
      <c r="E801" s="76"/>
      <c r="F801" s="77"/>
      <c r="G801" s="78"/>
      <c r="H801" s="74"/>
    </row>
    <row r="802" spans="1:14" x14ac:dyDescent="0.2">
      <c r="A802" s="74"/>
      <c r="B802" s="74" t="s">
        <v>1013</v>
      </c>
      <c r="C802" s="74" t="s">
        <v>646</v>
      </c>
      <c r="D802" s="76">
        <v>36.25</v>
      </c>
      <c r="E802" s="76"/>
      <c r="F802" s="77"/>
      <c r="G802" s="78"/>
      <c r="H802" s="74"/>
    </row>
    <row r="803" spans="1:14" x14ac:dyDescent="0.2">
      <c r="A803" s="74"/>
      <c r="B803" s="74" t="s">
        <v>525</v>
      </c>
      <c r="C803" s="74" t="s">
        <v>526</v>
      </c>
      <c r="D803" s="76">
        <v>96</v>
      </c>
      <c r="E803" s="76"/>
      <c r="F803" s="77"/>
      <c r="G803" s="78"/>
      <c r="H803" s="74"/>
    </row>
    <row r="804" spans="1:14" x14ac:dyDescent="0.2">
      <c r="A804" s="74"/>
      <c r="B804" s="74" t="s">
        <v>1035</v>
      </c>
      <c r="C804" s="74" t="s">
        <v>526</v>
      </c>
      <c r="D804" s="76">
        <v>110</v>
      </c>
      <c r="E804" s="76"/>
      <c r="F804" s="77"/>
      <c r="G804" s="78"/>
      <c r="H804" s="74"/>
    </row>
    <row r="805" spans="1:14" x14ac:dyDescent="0.2">
      <c r="A805" s="74"/>
      <c r="B805" s="74" t="s">
        <v>585</v>
      </c>
      <c r="C805" s="74" t="s">
        <v>526</v>
      </c>
      <c r="D805" s="76">
        <v>96</v>
      </c>
      <c r="E805" s="76"/>
      <c r="F805" s="77"/>
      <c r="G805" s="78"/>
      <c r="H805" s="74"/>
    </row>
    <row r="806" spans="1:14" x14ac:dyDescent="0.2">
      <c r="A806" s="74"/>
      <c r="B806" s="74" t="s">
        <v>527</v>
      </c>
      <c r="C806" s="74" t="s">
        <v>646</v>
      </c>
      <c r="D806" s="76">
        <v>45</v>
      </c>
      <c r="E806" s="76"/>
      <c r="F806" s="77"/>
      <c r="G806" s="78"/>
      <c r="H806" s="74">
        <v>85</v>
      </c>
    </row>
    <row r="807" spans="1:14" x14ac:dyDescent="0.2">
      <c r="A807" s="74"/>
      <c r="B807" s="74" t="s">
        <v>1036</v>
      </c>
      <c r="C807" s="74" t="s">
        <v>646</v>
      </c>
      <c r="D807" s="76">
        <v>55</v>
      </c>
      <c r="E807" s="76"/>
      <c r="F807" s="77"/>
      <c r="G807" s="78"/>
      <c r="H807" s="74"/>
      <c r="N807">
        <v>7</v>
      </c>
    </row>
    <row r="808" spans="1:14" x14ac:dyDescent="0.2">
      <c r="A808" s="74"/>
      <c r="B808" s="74" t="s">
        <v>831</v>
      </c>
      <c r="C808" s="74"/>
      <c r="D808" s="76">
        <v>108</v>
      </c>
      <c r="E808" s="76"/>
      <c r="F808" s="77"/>
      <c r="G808" s="78"/>
      <c r="H808" s="74"/>
    </row>
    <row r="809" spans="1:14" x14ac:dyDescent="0.2">
      <c r="A809" s="74"/>
      <c r="B809" s="74" t="s">
        <v>1059</v>
      </c>
      <c r="C809" s="83" t="s">
        <v>1060</v>
      </c>
      <c r="D809" s="76">
        <v>58.8</v>
      </c>
      <c r="E809" s="76"/>
      <c r="F809" s="77"/>
      <c r="G809" s="78"/>
      <c r="H809" s="74"/>
    </row>
    <row r="810" spans="1:14" x14ac:dyDescent="0.2">
      <c r="A810" s="74"/>
      <c r="B810" s="74" t="s">
        <v>752</v>
      </c>
      <c r="C810" s="83" t="s">
        <v>753</v>
      </c>
      <c r="D810" s="76">
        <v>15</v>
      </c>
      <c r="E810" s="76"/>
      <c r="F810" s="77"/>
      <c r="G810" s="78"/>
      <c r="H810" s="74"/>
    </row>
    <row r="811" spans="1:14" ht="12" customHeight="1" x14ac:dyDescent="0.2">
      <c r="A811" s="74"/>
      <c r="B811" s="74" t="s">
        <v>1014</v>
      </c>
      <c r="C811" s="74" t="s">
        <v>1015</v>
      </c>
      <c r="D811" s="76">
        <v>25</v>
      </c>
      <c r="E811" s="76"/>
      <c r="F811" s="77"/>
      <c r="G811" s="78"/>
      <c r="H811" s="74"/>
    </row>
    <row r="812" spans="1:14" x14ac:dyDescent="0.2">
      <c r="A812" s="74"/>
      <c r="B812" s="74" t="s">
        <v>1037</v>
      </c>
      <c r="C812" s="74" t="s">
        <v>646</v>
      </c>
      <c r="D812" s="76">
        <v>31</v>
      </c>
      <c r="E812" s="76"/>
      <c r="F812" s="77"/>
      <c r="G812" s="78"/>
      <c r="H812" s="74"/>
    </row>
    <row r="813" spans="1:14" x14ac:dyDescent="0.2">
      <c r="A813" s="74"/>
      <c r="B813" s="74" t="s">
        <v>820</v>
      </c>
      <c r="C813" s="84" t="s">
        <v>646</v>
      </c>
      <c r="D813" s="76">
        <v>27</v>
      </c>
      <c r="E813" s="76"/>
      <c r="F813" s="77"/>
      <c r="G813" s="78"/>
      <c r="H813" s="74"/>
    </row>
    <row r="814" spans="1:14" x14ac:dyDescent="0.2">
      <c r="A814" s="74"/>
      <c r="B814" s="74" t="s">
        <v>792</v>
      </c>
      <c r="C814" s="74" t="s">
        <v>646</v>
      </c>
      <c r="D814" s="76">
        <v>30</v>
      </c>
      <c r="E814" s="76"/>
      <c r="F814" s="77"/>
      <c r="G814" s="78">
        <v>33</v>
      </c>
      <c r="H814" s="74">
        <v>85</v>
      </c>
    </row>
    <row r="815" spans="1:14" x14ac:dyDescent="0.2">
      <c r="A815" s="74"/>
      <c r="B815" s="74" t="s">
        <v>1038</v>
      </c>
      <c r="C815" s="74" t="s">
        <v>646</v>
      </c>
      <c r="D815" s="76">
        <v>42</v>
      </c>
      <c r="E815" s="76"/>
      <c r="F815" s="77"/>
      <c r="G815" s="78"/>
      <c r="H815" s="74"/>
    </row>
    <row r="816" spans="1:14" x14ac:dyDescent="0.2">
      <c r="A816" s="74"/>
      <c r="B816" s="74" t="s">
        <v>544</v>
      </c>
      <c r="C816" s="74" t="s">
        <v>825</v>
      </c>
      <c r="D816" s="76">
        <v>41.5</v>
      </c>
      <c r="E816" s="76"/>
      <c r="F816" s="77"/>
      <c r="G816" s="78"/>
      <c r="H816" s="74">
        <v>38</v>
      </c>
    </row>
    <row r="817" spans="1:9" x14ac:dyDescent="0.2">
      <c r="A817" s="74"/>
      <c r="B817" s="74" t="s">
        <v>1039</v>
      </c>
      <c r="C817" s="74" t="s">
        <v>757</v>
      </c>
      <c r="D817" s="76">
        <v>4.4000000000000004</v>
      </c>
      <c r="E817" s="76"/>
      <c r="F817" s="77"/>
      <c r="G817" s="78"/>
      <c r="H817" s="74"/>
    </row>
    <row r="818" spans="1:9" x14ac:dyDescent="0.2">
      <c r="A818" s="74"/>
      <c r="B818" s="74" t="s">
        <v>663</v>
      </c>
      <c r="C818" s="74"/>
      <c r="D818" s="76">
        <v>52</v>
      </c>
      <c r="E818" s="76"/>
      <c r="F818" s="77"/>
      <c r="G818" s="78"/>
      <c r="H818" s="74"/>
    </row>
    <row r="819" spans="1:9" x14ac:dyDescent="0.2">
      <c r="A819" s="74"/>
      <c r="B819" s="74" t="s">
        <v>507</v>
      </c>
      <c r="C819" s="74"/>
      <c r="D819" s="76">
        <v>16.5</v>
      </c>
      <c r="E819" s="76"/>
      <c r="F819" s="77"/>
      <c r="G819" s="78">
        <v>17</v>
      </c>
      <c r="H819" s="74"/>
    </row>
    <row r="820" spans="1:9" x14ac:dyDescent="0.2">
      <c r="A820" s="74"/>
      <c r="B820" s="74" t="s">
        <v>517</v>
      </c>
      <c r="C820" s="74"/>
      <c r="D820" s="76">
        <v>18.5</v>
      </c>
      <c r="E820" s="76"/>
      <c r="F820" s="77"/>
      <c r="G820" s="78"/>
      <c r="H820" s="74">
        <v>17.5</v>
      </c>
    </row>
    <row r="821" spans="1:9" x14ac:dyDescent="0.2">
      <c r="A821" s="74"/>
      <c r="B821" s="74" t="s">
        <v>697</v>
      </c>
      <c r="C821" s="74"/>
      <c r="D821" s="76">
        <v>17</v>
      </c>
      <c r="E821" s="76"/>
      <c r="F821" s="77"/>
      <c r="G821" s="78"/>
      <c r="H821" s="74">
        <v>16</v>
      </c>
    </row>
    <row r="822" spans="1:9" x14ac:dyDescent="0.2">
      <c r="A822" s="74"/>
      <c r="B822" s="74" t="s">
        <v>1016</v>
      </c>
      <c r="C822" s="74" t="s">
        <v>463</v>
      </c>
      <c r="D822" s="76">
        <v>22</v>
      </c>
      <c r="E822" s="76"/>
      <c r="F822" s="77"/>
      <c r="G822" s="78"/>
      <c r="H822" s="74"/>
    </row>
    <row r="823" spans="1:9" x14ac:dyDescent="0.2">
      <c r="A823" s="74"/>
      <c r="B823" s="74" t="s">
        <v>610</v>
      </c>
      <c r="C823" s="74" t="s">
        <v>462</v>
      </c>
      <c r="D823" s="76">
        <v>90</v>
      </c>
      <c r="E823" s="76"/>
      <c r="F823" s="77"/>
      <c r="G823" s="78"/>
      <c r="H823" s="74"/>
      <c r="I823">
        <v>93.5</v>
      </c>
    </row>
    <row r="824" spans="1:9" x14ac:dyDescent="0.2">
      <c r="A824" s="74">
        <v>29231</v>
      </c>
      <c r="B824" s="74" t="s">
        <v>520</v>
      </c>
      <c r="C824" s="74"/>
      <c r="D824" s="76">
        <v>25</v>
      </c>
      <c r="E824" s="76"/>
      <c r="F824" s="77"/>
      <c r="G824" s="78">
        <v>26</v>
      </c>
      <c r="H824" s="74" t="s">
        <v>620</v>
      </c>
    </row>
    <row r="825" spans="1:9" x14ac:dyDescent="0.2">
      <c r="A825" s="74"/>
      <c r="B825" s="74" t="s">
        <v>1040</v>
      </c>
      <c r="C825" s="74" t="s">
        <v>1022</v>
      </c>
      <c r="D825" s="76">
        <v>18</v>
      </c>
      <c r="E825" s="76"/>
      <c r="F825" s="77"/>
      <c r="G825" s="78"/>
      <c r="H825" s="74"/>
    </row>
    <row r="826" spans="1:9" x14ac:dyDescent="0.2">
      <c r="A826" s="74"/>
      <c r="B826" s="74" t="s">
        <v>132</v>
      </c>
      <c r="C826" s="74" t="s">
        <v>463</v>
      </c>
      <c r="D826" s="76">
        <v>24</v>
      </c>
      <c r="E826" s="76"/>
      <c r="F826" s="77"/>
      <c r="G826" s="78"/>
      <c r="H826" s="74"/>
    </row>
    <row r="827" spans="1:9" x14ac:dyDescent="0.2">
      <c r="A827" s="74"/>
      <c r="B827" s="74" t="s">
        <v>157</v>
      </c>
      <c r="C827" s="74" t="s">
        <v>20</v>
      </c>
      <c r="D827" s="76">
        <v>14.4</v>
      </c>
      <c r="E827" s="76"/>
      <c r="F827" s="77"/>
      <c r="G827" s="78"/>
      <c r="H827" s="74"/>
    </row>
    <row r="828" spans="1:9" x14ac:dyDescent="0.2">
      <c r="A828" s="74"/>
      <c r="B828" s="74" t="s">
        <v>547</v>
      </c>
      <c r="C828" s="74" t="s">
        <v>516</v>
      </c>
      <c r="D828" s="76">
        <v>70</v>
      </c>
      <c r="E828" s="76"/>
      <c r="F828" s="77"/>
      <c r="G828" s="78">
        <v>96</v>
      </c>
      <c r="H828" s="74" t="s">
        <v>662</v>
      </c>
    </row>
    <row r="829" spans="1:9" x14ac:dyDescent="0.2">
      <c r="A829" s="74">
        <v>9835</v>
      </c>
      <c r="B829" s="74" t="s">
        <v>455</v>
      </c>
      <c r="C829" s="74"/>
      <c r="D829" s="76">
        <v>8.7799999999999994</v>
      </c>
      <c r="E829" s="76"/>
      <c r="F829" s="77"/>
      <c r="G829" s="78"/>
      <c r="H829" s="74"/>
    </row>
    <row r="830" spans="1:9" x14ac:dyDescent="0.2">
      <c r="A830" s="74"/>
      <c r="B830" s="74" t="s">
        <v>810</v>
      </c>
      <c r="C830" s="74" t="s">
        <v>20</v>
      </c>
      <c r="D830" s="76">
        <v>32</v>
      </c>
      <c r="E830" s="76"/>
      <c r="F830" s="77"/>
      <c r="G830" s="78"/>
      <c r="H830" s="74"/>
    </row>
    <row r="831" spans="1:9" x14ac:dyDescent="0.2">
      <c r="A831" s="74"/>
      <c r="B831" s="74" t="s">
        <v>809</v>
      </c>
      <c r="C831" s="74" t="s">
        <v>20</v>
      </c>
      <c r="D831" s="76">
        <v>21.9</v>
      </c>
      <c r="E831" s="76"/>
      <c r="F831" s="77"/>
      <c r="G831" s="78"/>
      <c r="H831" s="74"/>
    </row>
    <row r="832" spans="1:9" x14ac:dyDescent="0.2">
      <c r="A832" s="74" t="s">
        <v>698</v>
      </c>
      <c r="B832" s="74" t="s">
        <v>816</v>
      </c>
      <c r="C832" s="74"/>
      <c r="D832" s="76">
        <v>170</v>
      </c>
      <c r="E832" s="76"/>
      <c r="F832" s="77"/>
      <c r="G832" s="78"/>
      <c r="H832" s="74"/>
    </row>
    <row r="833" spans="1:8" x14ac:dyDescent="0.2">
      <c r="A833" s="74"/>
      <c r="B833" s="74" t="s">
        <v>782</v>
      </c>
      <c r="C833" s="83" t="s">
        <v>627</v>
      </c>
      <c r="D833" s="76">
        <v>32</v>
      </c>
      <c r="E833" s="76"/>
      <c r="F833" s="77"/>
      <c r="G833" s="78"/>
      <c r="H833" s="74"/>
    </row>
    <row r="834" spans="1:8" x14ac:dyDescent="0.2">
      <c r="A834" s="74"/>
      <c r="B834" s="74" t="s">
        <v>1017</v>
      </c>
      <c r="C834" s="83" t="s">
        <v>1018</v>
      </c>
      <c r="D834" s="76">
        <v>101</v>
      </c>
      <c r="E834" s="76"/>
      <c r="F834" s="77"/>
      <c r="G834" s="78"/>
      <c r="H834" s="74"/>
    </row>
    <row r="835" spans="1:8" x14ac:dyDescent="0.2">
      <c r="A835" s="74"/>
      <c r="B835" s="74" t="s">
        <v>794</v>
      </c>
      <c r="C835" s="74" t="s">
        <v>793</v>
      </c>
      <c r="D835" s="76">
        <v>105</v>
      </c>
      <c r="E835" s="76"/>
      <c r="F835" s="77"/>
      <c r="G835" s="78"/>
      <c r="H835" s="74"/>
    </row>
    <row r="836" spans="1:8" x14ac:dyDescent="0.2">
      <c r="A836" s="74">
        <v>34531</v>
      </c>
      <c r="B836" s="74" t="s">
        <v>450</v>
      </c>
      <c r="C836" s="74"/>
      <c r="D836" s="76">
        <v>74</v>
      </c>
      <c r="E836" s="76"/>
      <c r="F836" s="77"/>
      <c r="G836" s="78">
        <v>75</v>
      </c>
      <c r="H836" s="74">
        <v>95</v>
      </c>
    </row>
    <row r="837" spans="1:8" x14ac:dyDescent="0.2">
      <c r="A837" s="74"/>
      <c r="B837" s="74" t="s">
        <v>758</v>
      </c>
      <c r="C837" s="74" t="s">
        <v>650</v>
      </c>
      <c r="D837" s="76">
        <v>79.5</v>
      </c>
      <c r="E837" s="76"/>
      <c r="F837" s="77"/>
      <c r="G837" s="78"/>
      <c r="H837" s="74"/>
    </row>
    <row r="838" spans="1:8" x14ac:dyDescent="0.2">
      <c r="A838" s="74"/>
      <c r="B838" s="75" t="s">
        <v>758</v>
      </c>
      <c r="C838" s="85" t="s">
        <v>1019</v>
      </c>
      <c r="D838" s="76">
        <v>8.5</v>
      </c>
      <c r="E838" s="76"/>
      <c r="F838" s="77"/>
      <c r="G838" s="78">
        <v>16</v>
      </c>
      <c r="H838" s="74"/>
    </row>
    <row r="839" spans="1:8" x14ac:dyDescent="0.2">
      <c r="A839" s="74"/>
      <c r="B839" s="74" t="s">
        <v>795</v>
      </c>
      <c r="C839" s="74" t="s">
        <v>796</v>
      </c>
      <c r="D839" s="76">
        <v>70</v>
      </c>
      <c r="E839" s="76"/>
      <c r="F839" s="77"/>
      <c r="G839" s="78"/>
      <c r="H839" s="74"/>
    </row>
    <row r="840" spans="1:8" x14ac:dyDescent="0.2">
      <c r="A840" s="74"/>
      <c r="B840" s="74" t="s">
        <v>797</v>
      </c>
      <c r="C840" s="74" t="s">
        <v>798</v>
      </c>
      <c r="D840" s="76">
        <v>12</v>
      </c>
      <c r="E840" s="76"/>
      <c r="F840" s="77"/>
      <c r="G840" s="78"/>
      <c r="H840" s="74"/>
    </row>
    <row r="841" spans="1:8" x14ac:dyDescent="0.2">
      <c r="A841" s="74"/>
      <c r="B841" s="74" t="s">
        <v>642</v>
      </c>
      <c r="C841" s="74" t="s">
        <v>20</v>
      </c>
      <c r="D841" s="76">
        <v>9</v>
      </c>
      <c r="E841" s="76"/>
      <c r="F841" s="77"/>
      <c r="G841" s="78">
        <v>7.2</v>
      </c>
      <c r="H841" s="74">
        <v>6.8</v>
      </c>
    </row>
    <row r="842" spans="1:8" x14ac:dyDescent="0.2">
      <c r="A842" s="74"/>
      <c r="B842" s="74" t="s">
        <v>501</v>
      </c>
      <c r="C842" s="74" t="s">
        <v>462</v>
      </c>
      <c r="D842" s="76">
        <v>37</v>
      </c>
      <c r="E842" s="76"/>
      <c r="F842" s="77"/>
      <c r="G842" s="78"/>
      <c r="H842" s="74"/>
    </row>
    <row r="843" spans="1:8" x14ac:dyDescent="0.2">
      <c r="A843" s="74">
        <v>19114</v>
      </c>
      <c r="B843" s="74" t="s">
        <v>458</v>
      </c>
      <c r="C843" s="74"/>
      <c r="D843" s="76">
        <v>99.27</v>
      </c>
      <c r="E843" s="76"/>
      <c r="F843" s="77"/>
      <c r="G843" s="78"/>
      <c r="H843" s="74"/>
    </row>
    <row r="844" spans="1:8" x14ac:dyDescent="0.2">
      <c r="A844" s="74">
        <v>19394</v>
      </c>
      <c r="B844" s="74" t="s">
        <v>457</v>
      </c>
      <c r="C844" s="74"/>
      <c r="D844" s="76">
        <v>5.57</v>
      </c>
      <c r="E844" s="76"/>
      <c r="F844" s="77"/>
      <c r="G844" s="78"/>
      <c r="H844" s="74"/>
    </row>
    <row r="845" spans="1:8" x14ac:dyDescent="0.2">
      <c r="A845" s="74"/>
      <c r="B845" s="74" t="s">
        <v>811</v>
      </c>
      <c r="C845" s="74" t="s">
        <v>20</v>
      </c>
      <c r="D845" s="76">
        <v>65</v>
      </c>
      <c r="E845" s="76"/>
      <c r="F845" s="77"/>
      <c r="G845" s="78"/>
      <c r="H845" s="74"/>
    </row>
    <row r="846" spans="1:8" x14ac:dyDescent="0.2">
      <c r="A846" s="74"/>
      <c r="B846" s="74" t="s">
        <v>812</v>
      </c>
      <c r="C846" s="74" t="s">
        <v>20</v>
      </c>
      <c r="D846" s="76">
        <v>53</v>
      </c>
      <c r="E846" s="76"/>
      <c r="F846" s="77"/>
      <c r="G846" s="78"/>
      <c r="H846" s="74"/>
    </row>
    <row r="847" spans="1:8" x14ac:dyDescent="0.2">
      <c r="A847" s="74"/>
      <c r="B847" s="74" t="s">
        <v>686</v>
      </c>
      <c r="C847" s="75" t="s">
        <v>757</v>
      </c>
      <c r="D847" s="76">
        <v>5.5</v>
      </c>
      <c r="E847" s="76"/>
      <c r="F847" s="77"/>
      <c r="G847" s="78">
        <v>5</v>
      </c>
      <c r="H847" s="74">
        <v>5.5</v>
      </c>
    </row>
    <row r="848" spans="1:8" x14ac:dyDescent="0.2">
      <c r="A848" s="74"/>
      <c r="B848" s="74" t="s">
        <v>549</v>
      </c>
      <c r="C848" s="74" t="s">
        <v>621</v>
      </c>
      <c r="D848" s="76">
        <v>7</v>
      </c>
      <c r="E848" s="76"/>
      <c r="F848" s="77"/>
      <c r="G848" s="78"/>
      <c r="H848" s="74"/>
    </row>
    <row r="849" spans="1:8" x14ac:dyDescent="0.2">
      <c r="A849" s="74"/>
      <c r="B849" s="74" t="s">
        <v>622</v>
      </c>
      <c r="C849" s="74">
        <v>400</v>
      </c>
      <c r="D849" s="76">
        <v>5.9</v>
      </c>
      <c r="E849" s="76"/>
      <c r="F849" s="77"/>
      <c r="G849" s="78"/>
      <c r="H849" s="74">
        <v>5.5</v>
      </c>
    </row>
    <row r="850" spans="1:8" x14ac:dyDescent="0.2">
      <c r="A850" s="74"/>
      <c r="B850" s="74" t="s">
        <v>625</v>
      </c>
      <c r="C850" s="74" t="s">
        <v>463</v>
      </c>
      <c r="D850" s="76">
        <v>28</v>
      </c>
      <c r="E850" s="76"/>
      <c r="F850" s="77"/>
      <c r="G850" s="78"/>
      <c r="H850" s="74"/>
    </row>
    <row r="851" spans="1:8" x14ac:dyDescent="0.2">
      <c r="A851" s="74"/>
      <c r="B851" s="74" t="s">
        <v>687</v>
      </c>
      <c r="C851" s="74"/>
      <c r="D851" s="76">
        <v>18.3</v>
      </c>
      <c r="E851" s="76"/>
      <c r="F851" s="77"/>
      <c r="G851" s="78"/>
      <c r="H851" s="74"/>
    </row>
    <row r="852" spans="1:8" x14ac:dyDescent="0.2">
      <c r="A852" s="74"/>
      <c r="B852" s="74" t="s">
        <v>626</v>
      </c>
      <c r="C852" s="74" t="s">
        <v>627</v>
      </c>
      <c r="D852" s="76">
        <v>26.2</v>
      </c>
      <c r="E852" s="76"/>
      <c r="F852" s="77"/>
      <c r="G852" s="78"/>
      <c r="H852" s="74"/>
    </row>
    <row r="853" spans="1:8" x14ac:dyDescent="0.2">
      <c r="A853" s="74"/>
      <c r="B853" s="74" t="s">
        <v>626</v>
      </c>
      <c r="C853" s="74"/>
      <c r="D853" s="76">
        <v>30</v>
      </c>
      <c r="E853" s="76"/>
      <c r="F853" s="77"/>
      <c r="G853" s="78"/>
      <c r="H853" s="74"/>
    </row>
    <row r="854" spans="1:8" x14ac:dyDescent="0.2">
      <c r="A854" s="74"/>
      <c r="B854" s="74" t="s">
        <v>559</v>
      </c>
      <c r="C854" s="74" t="s">
        <v>560</v>
      </c>
      <c r="D854" s="76">
        <v>56</v>
      </c>
      <c r="E854" s="76"/>
      <c r="F854" s="77"/>
      <c r="G854" s="78"/>
      <c r="H854" s="74"/>
    </row>
    <row r="855" spans="1:8" x14ac:dyDescent="0.2">
      <c r="A855" s="74"/>
      <c r="B855" s="74" t="s">
        <v>801</v>
      </c>
      <c r="C855" s="74" t="s">
        <v>802</v>
      </c>
      <c r="D855" s="76">
        <v>99</v>
      </c>
      <c r="E855" s="76"/>
      <c r="F855" s="77"/>
      <c r="G855" s="78"/>
      <c r="H855" s="74"/>
    </row>
    <row r="856" spans="1:8" x14ac:dyDescent="0.2">
      <c r="A856" s="74"/>
      <c r="B856" s="74" t="s">
        <v>799</v>
      </c>
      <c r="C856" s="74" t="s">
        <v>800</v>
      </c>
      <c r="D856" s="76">
        <v>84</v>
      </c>
      <c r="E856" s="76"/>
      <c r="F856" s="77"/>
      <c r="G856" s="78"/>
      <c r="H856" s="74"/>
    </row>
    <row r="857" spans="1:8" x14ac:dyDescent="0.2">
      <c r="A857" s="74"/>
      <c r="B857" s="74" t="s">
        <v>1020</v>
      </c>
      <c r="C857" s="74" t="s">
        <v>1021</v>
      </c>
      <c r="D857" s="76">
        <v>21.5</v>
      </c>
      <c r="E857" s="76"/>
      <c r="F857" s="77"/>
      <c r="G857" s="78"/>
      <c r="H857" s="74"/>
    </row>
    <row r="858" spans="1:8" x14ac:dyDescent="0.2">
      <c r="A858" s="74"/>
      <c r="B858" s="74" t="s">
        <v>803</v>
      </c>
      <c r="C858" s="74"/>
      <c r="D858" s="76">
        <v>16</v>
      </c>
      <c r="E858" s="76"/>
      <c r="F858" s="77"/>
      <c r="G858" s="78">
        <v>15.5</v>
      </c>
      <c r="H858" s="74">
        <v>15</v>
      </c>
    </row>
    <row r="859" spans="1:8" x14ac:dyDescent="0.2">
      <c r="A859" s="74"/>
      <c r="B859" s="74" t="s">
        <v>146</v>
      </c>
      <c r="C859" s="74"/>
      <c r="D859" s="76">
        <v>12.43</v>
      </c>
      <c r="E859" s="76"/>
      <c r="F859" s="77"/>
      <c r="G859" s="78"/>
      <c r="H859" s="74"/>
    </row>
    <row r="860" spans="1:8" x14ac:dyDescent="0.2">
      <c r="A860" s="74"/>
      <c r="B860" s="74" t="s">
        <v>546</v>
      </c>
      <c r="C860" s="74" t="s">
        <v>516</v>
      </c>
      <c r="D860" s="76">
        <v>100</v>
      </c>
      <c r="E860" s="76"/>
      <c r="F860" s="77"/>
      <c r="G860" s="78">
        <v>98</v>
      </c>
      <c r="H860" s="74"/>
    </row>
    <row r="861" spans="1:8" x14ac:dyDescent="0.2">
      <c r="A861" s="74"/>
      <c r="B861" s="74" t="s">
        <v>1066</v>
      </c>
      <c r="C861" s="74" t="s">
        <v>516</v>
      </c>
      <c r="D861" s="76">
        <v>95</v>
      </c>
      <c r="E861" s="76"/>
      <c r="F861" s="77"/>
      <c r="G861" s="78"/>
      <c r="H861" s="74"/>
    </row>
    <row r="862" spans="1:8" x14ac:dyDescent="0.2">
      <c r="A862" s="74"/>
      <c r="B862" s="74" t="s">
        <v>617</v>
      </c>
      <c r="C862" s="74" t="s">
        <v>618</v>
      </c>
      <c r="D862" s="76">
        <v>38</v>
      </c>
      <c r="E862" s="76"/>
      <c r="F862" s="77"/>
      <c r="G862" s="78"/>
      <c r="H862" s="74"/>
    </row>
    <row r="863" spans="1:8" x14ac:dyDescent="0.2">
      <c r="A863" s="74"/>
      <c r="B863" s="74" t="s">
        <v>821</v>
      </c>
      <c r="C863" s="74" t="s">
        <v>819</v>
      </c>
      <c r="D863" s="76">
        <v>54</v>
      </c>
      <c r="E863" s="76"/>
      <c r="F863" s="77"/>
      <c r="G863" s="78"/>
      <c r="H863" s="74"/>
    </row>
    <row r="864" spans="1:8" x14ac:dyDescent="0.2">
      <c r="A864" s="74"/>
      <c r="B864" s="74" t="s">
        <v>1041</v>
      </c>
      <c r="C864" s="74" t="s">
        <v>1042</v>
      </c>
      <c r="D864" s="76">
        <v>21</v>
      </c>
      <c r="E864" s="76"/>
      <c r="F864" s="77"/>
      <c r="G864" s="78"/>
      <c r="H864" s="74"/>
    </row>
    <row r="865" spans="1:8" s="16" customFormat="1" ht="20.25" x14ac:dyDescent="0.3">
      <c r="A865" s="29" t="s">
        <v>459</v>
      </c>
      <c r="B865"/>
      <c r="C865"/>
      <c r="D865" s="2"/>
      <c r="E865" s="2"/>
      <c r="F865" s="3"/>
      <c r="G865" s="4"/>
      <c r="H865"/>
    </row>
    <row r="867" spans="1:8" ht="15" x14ac:dyDescent="0.25">
      <c r="A867" s="12" t="s">
        <v>0</v>
      </c>
      <c r="B867" s="12" t="s">
        <v>1</v>
      </c>
      <c r="C867" s="12" t="s">
        <v>19</v>
      </c>
      <c r="D867" s="13" t="s">
        <v>424</v>
      </c>
      <c r="E867" s="13"/>
      <c r="F867" s="14" t="s">
        <v>113</v>
      </c>
      <c r="G867" s="15" t="s">
        <v>425</v>
      </c>
      <c r="H867" s="12" t="s">
        <v>426</v>
      </c>
    </row>
    <row r="868" spans="1:8" x14ac:dyDescent="0.2">
      <c r="A868" s="7"/>
      <c r="B868" s="27" t="s">
        <v>575</v>
      </c>
      <c r="C868" s="7"/>
      <c r="D868" s="8">
        <v>34</v>
      </c>
      <c r="E868" s="8"/>
      <c r="F868" s="9"/>
      <c r="G868" s="10"/>
      <c r="H868" s="7"/>
    </row>
    <row r="869" spans="1:8" x14ac:dyDescent="0.2">
      <c r="A869" s="7"/>
      <c r="B869" s="27" t="s">
        <v>508</v>
      </c>
      <c r="C869" s="7"/>
      <c r="D869" s="8">
        <v>32.5</v>
      </c>
      <c r="E869" s="8"/>
      <c r="F869" s="9"/>
      <c r="G869" s="10"/>
      <c r="H869" s="7"/>
    </row>
    <row r="870" spans="1:8" x14ac:dyDescent="0.2">
      <c r="A870" s="7"/>
      <c r="B870" s="27" t="s">
        <v>577</v>
      </c>
      <c r="C870" s="7"/>
      <c r="D870" s="8">
        <v>26.22</v>
      </c>
      <c r="E870" s="8"/>
      <c r="F870" s="9"/>
      <c r="G870" s="10"/>
      <c r="H870" s="7"/>
    </row>
    <row r="871" spans="1:8" x14ac:dyDescent="0.2">
      <c r="A871" s="7"/>
      <c r="B871" s="27" t="s">
        <v>576</v>
      </c>
      <c r="C871" s="7"/>
      <c r="D871" s="8">
        <v>40.5</v>
      </c>
      <c r="E871" s="8"/>
      <c r="F871" s="9"/>
      <c r="G871" s="10"/>
      <c r="H871" s="7"/>
    </row>
    <row r="872" spans="1:8" x14ac:dyDescent="0.2">
      <c r="A872" s="7"/>
      <c r="B872" s="7" t="s">
        <v>529</v>
      </c>
      <c r="C872" s="7"/>
      <c r="D872" s="8">
        <v>23</v>
      </c>
      <c r="E872" s="8"/>
      <c r="F872" s="9"/>
      <c r="G872" s="10"/>
      <c r="H872" s="7"/>
    </row>
    <row r="873" spans="1:8" x14ac:dyDescent="0.2">
      <c r="A873" s="7"/>
      <c r="B873" s="27" t="s">
        <v>573</v>
      </c>
      <c r="C873" s="7"/>
      <c r="D873" s="8">
        <v>25</v>
      </c>
      <c r="E873" s="8"/>
      <c r="F873" s="9"/>
      <c r="G873" s="10"/>
      <c r="H873" s="7"/>
    </row>
    <row r="874" spans="1:8" x14ac:dyDescent="0.2">
      <c r="A874" s="7"/>
      <c r="B874" s="27" t="s">
        <v>574</v>
      </c>
      <c r="C874" s="7"/>
      <c r="D874" s="8">
        <v>45</v>
      </c>
      <c r="E874" s="8"/>
      <c r="F874" s="9"/>
      <c r="G874" s="10"/>
      <c r="H874" s="7"/>
    </row>
    <row r="875" spans="1:8" x14ac:dyDescent="0.2">
      <c r="A875" s="7">
        <v>659042</v>
      </c>
      <c r="B875" s="7" t="s">
        <v>460</v>
      </c>
      <c r="C875" s="7"/>
      <c r="D875" s="8">
        <v>21.5</v>
      </c>
      <c r="E875" s="8"/>
      <c r="F875" s="9"/>
      <c r="G875" s="10"/>
      <c r="H875" s="7"/>
    </row>
    <row r="876" spans="1:8" x14ac:dyDescent="0.2">
      <c r="A876" s="7"/>
      <c r="B876" s="7" t="s">
        <v>551</v>
      </c>
      <c r="C876" s="7" t="s">
        <v>550</v>
      </c>
      <c r="D876" s="8">
        <v>22.5</v>
      </c>
      <c r="E876" s="8"/>
      <c r="F876" s="9"/>
      <c r="G876" s="10"/>
      <c r="H876" s="7"/>
    </row>
    <row r="877" spans="1:8" x14ac:dyDescent="0.2">
      <c r="A877" s="7"/>
      <c r="B877" s="7" t="s">
        <v>580</v>
      </c>
      <c r="C877" s="7"/>
      <c r="D877" s="8"/>
      <c r="E877" s="8"/>
      <c r="F877" s="9"/>
      <c r="G877" s="10"/>
      <c r="H877" s="7"/>
    </row>
    <row r="878" spans="1:8" x14ac:dyDescent="0.2">
      <c r="A878" s="7"/>
      <c r="B878" s="7" t="s">
        <v>581</v>
      </c>
      <c r="C878" s="7"/>
      <c r="D878" s="8"/>
      <c r="E878" s="8"/>
      <c r="F878" s="9"/>
      <c r="G878" s="10"/>
      <c r="H878" s="7"/>
    </row>
    <row r="879" spans="1:8" x14ac:dyDescent="0.2">
      <c r="A879" s="7"/>
      <c r="B879" s="7" t="s">
        <v>584</v>
      </c>
      <c r="C879" s="7"/>
      <c r="D879" s="8">
        <v>14.5</v>
      </c>
      <c r="E879" s="8"/>
      <c r="F879" s="9"/>
      <c r="G879" s="10"/>
      <c r="H879" s="7"/>
    </row>
    <row r="880" spans="1:8" x14ac:dyDescent="0.2">
      <c r="A880" s="7"/>
      <c r="B880" s="7" t="s">
        <v>96</v>
      </c>
      <c r="C880" s="7"/>
      <c r="D880" s="8">
        <v>7.2</v>
      </c>
      <c r="E880" s="8"/>
      <c r="F880" s="9"/>
      <c r="G880" s="10"/>
      <c r="H880" s="7"/>
    </row>
    <row r="881" spans="1:8" x14ac:dyDescent="0.2">
      <c r="A881" s="7"/>
      <c r="B881" s="7" t="s">
        <v>591</v>
      </c>
      <c r="C881" s="7"/>
      <c r="D881" s="8">
        <v>9.5</v>
      </c>
      <c r="E881" s="8"/>
      <c r="F881" s="9"/>
      <c r="G881" s="10"/>
      <c r="H881" s="7"/>
    </row>
    <row r="882" spans="1:8" x14ac:dyDescent="0.2">
      <c r="A882" s="7"/>
      <c r="B882" s="7" t="s">
        <v>592</v>
      </c>
      <c r="C882" s="7"/>
      <c r="D882" s="8">
        <v>24.74</v>
      </c>
      <c r="E882" s="8"/>
      <c r="F882" s="9"/>
      <c r="G882" s="10"/>
      <c r="H882" s="7"/>
    </row>
    <row r="885" spans="1:8" hidden="1" x14ac:dyDescent="0.2"/>
    <row r="886" spans="1:8" hidden="1" x14ac:dyDescent="0.2"/>
    <row r="887" spans="1:8" s="16" customFormat="1" ht="15" hidden="1" x14ac:dyDescent="0.25"/>
    <row r="888" spans="1:8" hidden="1" x14ac:dyDescent="0.2"/>
    <row r="889" spans="1:8" hidden="1" x14ac:dyDescent="0.2"/>
    <row r="890" spans="1:8" hidden="1" x14ac:dyDescent="0.2"/>
    <row r="891" spans="1:8" hidden="1" x14ac:dyDescent="0.2"/>
    <row r="892" spans="1:8" hidden="1" x14ac:dyDescent="0.2"/>
    <row r="893" spans="1:8" hidden="1" x14ac:dyDescent="0.2"/>
    <row r="894" spans="1:8" hidden="1" x14ac:dyDescent="0.2"/>
    <row r="895" spans="1:8" hidden="1" x14ac:dyDescent="0.2"/>
    <row r="896" spans="1:8" s="16" customFormat="1" ht="15" hidden="1" x14ac:dyDescent="0.25"/>
    <row r="897" hidden="1" x14ac:dyDescent="0.2"/>
    <row r="898" hidden="1" x14ac:dyDescent="0.2"/>
    <row r="899" hidden="1" x14ac:dyDescent="0.2"/>
    <row r="900" hidden="1" x14ac:dyDescent="0.2"/>
    <row r="901" hidden="1" x14ac:dyDescent="0.2"/>
    <row r="902" hidden="1" x14ac:dyDescent="0.2"/>
    <row r="903" ht="6.75" hidden="1" customHeight="1" x14ac:dyDescent="0.2"/>
    <row r="904" hidden="1" x14ac:dyDescent="0.2"/>
    <row r="905" s="40" customFormat="1" hidden="1" x14ac:dyDescent="0.2"/>
    <row r="906" s="40" customFormat="1" hidden="1" x14ac:dyDescent="0.2"/>
    <row r="907" s="40" customFormat="1" hidden="1" x14ac:dyDescent="0.2"/>
    <row r="908" s="40" customFormat="1" hidden="1" x14ac:dyDescent="0.2"/>
    <row r="909" s="40" customFormat="1" hidden="1" x14ac:dyDescent="0.2"/>
    <row r="910" s="40" customFormat="1" hidden="1" x14ac:dyDescent="0.2"/>
    <row r="911" hidden="1" x14ac:dyDescent="0.2"/>
    <row r="912" hidden="1" x14ac:dyDescent="0.2"/>
    <row r="913" spans="1:8" hidden="1" x14ac:dyDescent="0.2"/>
    <row r="914" spans="1:8" hidden="1" x14ac:dyDescent="0.2"/>
    <row r="915" spans="1:8" hidden="1" x14ac:dyDescent="0.2"/>
    <row r="916" spans="1:8" hidden="1" x14ac:dyDescent="0.2"/>
    <row r="917" spans="1:8" hidden="1" x14ac:dyDescent="0.2"/>
    <row r="918" spans="1:8" hidden="1" x14ac:dyDescent="0.2"/>
    <row r="919" spans="1:8" hidden="1" x14ac:dyDescent="0.2"/>
    <row r="920" spans="1:8" hidden="1" x14ac:dyDescent="0.2"/>
    <row r="922" spans="1:8" ht="18" x14ac:dyDescent="0.25">
      <c r="A922" s="11" t="s">
        <v>643</v>
      </c>
    </row>
    <row r="923" spans="1:8" x14ac:dyDescent="0.2">
      <c r="A923" s="7"/>
    </row>
    <row r="924" spans="1:8" ht="15" x14ac:dyDescent="0.25">
      <c r="A924" s="12" t="s">
        <v>0</v>
      </c>
      <c r="B924" s="12" t="s">
        <v>1</v>
      </c>
      <c r="C924" s="12" t="s">
        <v>19</v>
      </c>
      <c r="D924" s="13" t="s">
        <v>424</v>
      </c>
      <c r="E924" s="13"/>
      <c r="F924" s="14"/>
      <c r="G924" s="15"/>
      <c r="H924" s="12" t="s">
        <v>426</v>
      </c>
    </row>
    <row r="925" spans="1:8" x14ac:dyDescent="0.2">
      <c r="A925" s="7"/>
      <c r="B925" s="7" t="s">
        <v>644</v>
      </c>
      <c r="C925" s="7" t="s">
        <v>20</v>
      </c>
      <c r="D925" s="8">
        <v>33</v>
      </c>
      <c r="E925" s="8"/>
      <c r="F925" s="9"/>
      <c r="G925" s="10"/>
      <c r="H925" s="7"/>
    </row>
    <row r="926" spans="1:8" x14ac:dyDescent="0.2">
      <c r="A926" s="7"/>
      <c r="B926" s="7" t="s">
        <v>645</v>
      </c>
      <c r="C926" s="7" t="s">
        <v>646</v>
      </c>
      <c r="D926" s="8">
        <v>60</v>
      </c>
      <c r="E926" s="8"/>
      <c r="F926" s="9"/>
      <c r="G926" s="10">
        <v>55</v>
      </c>
      <c r="H926" s="7"/>
    </row>
    <row r="927" spans="1:8" x14ac:dyDescent="0.2">
      <c r="A927" s="7"/>
      <c r="B927" s="7" t="s">
        <v>647</v>
      </c>
      <c r="C927" s="7" t="s">
        <v>712</v>
      </c>
      <c r="D927" s="8">
        <v>50</v>
      </c>
      <c r="E927" s="8"/>
      <c r="F927" s="9"/>
      <c r="G927" s="10">
        <v>48</v>
      </c>
      <c r="H927" s="7"/>
    </row>
    <row r="928" spans="1:8" x14ac:dyDescent="0.2">
      <c r="A928" s="7"/>
      <c r="B928" s="7" t="s">
        <v>648</v>
      </c>
      <c r="C928" s="7" t="s">
        <v>20</v>
      </c>
      <c r="D928" s="8">
        <v>25</v>
      </c>
      <c r="E928" s="8"/>
      <c r="F928" s="9"/>
      <c r="G928" s="10"/>
      <c r="H928" s="7"/>
    </row>
    <row r="929" spans="1:8" x14ac:dyDescent="0.2">
      <c r="A929" s="7"/>
      <c r="B929" s="7" t="s">
        <v>649</v>
      </c>
      <c r="C929" s="7" t="s">
        <v>650</v>
      </c>
      <c r="D929" s="8">
        <v>85</v>
      </c>
      <c r="E929" s="8"/>
      <c r="F929" s="9"/>
      <c r="G929" s="10">
        <v>80</v>
      </c>
      <c r="H929" s="7"/>
    </row>
    <row r="930" spans="1:8" x14ac:dyDescent="0.2">
      <c r="A930" s="7"/>
      <c r="B930" s="7" t="s">
        <v>742</v>
      </c>
      <c r="C930" s="7" t="s">
        <v>20</v>
      </c>
      <c r="D930" s="8">
        <v>33</v>
      </c>
      <c r="E930" s="8"/>
      <c r="F930" s="9"/>
      <c r="G930" s="10">
        <v>34</v>
      </c>
      <c r="H930" s="7"/>
    </row>
    <row r="931" spans="1:8" x14ac:dyDescent="0.2">
      <c r="A931" s="7"/>
      <c r="B931" s="7" t="s">
        <v>818</v>
      </c>
      <c r="C931" s="7" t="s">
        <v>819</v>
      </c>
      <c r="D931" s="8">
        <v>44</v>
      </c>
      <c r="E931" s="8"/>
      <c r="F931" s="9"/>
      <c r="G931" s="10"/>
      <c r="H931" s="7"/>
    </row>
    <row r="932" spans="1:8" x14ac:dyDescent="0.2">
      <c r="A932" s="7"/>
      <c r="B932" s="27" t="s">
        <v>713</v>
      </c>
      <c r="C932" s="7"/>
      <c r="D932" s="8">
        <v>4.0999999999999996</v>
      </c>
      <c r="E932" s="8"/>
      <c r="F932" s="9"/>
      <c r="G932" s="10"/>
      <c r="H932" s="7"/>
    </row>
    <row r="933" spans="1:8" x14ac:dyDescent="0.2">
      <c r="A933" s="7"/>
      <c r="B933" s="27" t="s">
        <v>714</v>
      </c>
      <c r="C933" s="7"/>
      <c r="D933" s="8">
        <v>4.0999999999999996</v>
      </c>
      <c r="E933" s="8"/>
      <c r="F933" s="9"/>
      <c r="G933" s="10"/>
      <c r="H933" s="7"/>
    </row>
    <row r="934" spans="1:8" x14ac:dyDescent="0.2">
      <c r="A934" s="7"/>
      <c r="B934" s="27" t="s">
        <v>715</v>
      </c>
      <c r="C934" s="7" t="s">
        <v>712</v>
      </c>
      <c r="D934" s="8">
        <v>38</v>
      </c>
      <c r="E934" s="8"/>
      <c r="F934" s="9"/>
      <c r="G934" s="10"/>
      <c r="H934" s="7"/>
    </row>
    <row r="935" spans="1:8" x14ac:dyDescent="0.2">
      <c r="A935" s="7"/>
      <c r="B935" s="27" t="s">
        <v>716</v>
      </c>
      <c r="C935" s="7"/>
      <c r="D935" s="8">
        <v>98</v>
      </c>
      <c r="E935" s="8"/>
      <c r="F935" s="9"/>
      <c r="G935" s="10">
        <v>100</v>
      </c>
      <c r="H935" s="7"/>
    </row>
    <row r="936" spans="1:8" x14ac:dyDescent="0.2">
      <c r="A936" s="7"/>
      <c r="B936" s="27" t="s">
        <v>717</v>
      </c>
      <c r="C936" s="7"/>
      <c r="D936" s="8">
        <v>2.06</v>
      </c>
      <c r="E936" s="8"/>
      <c r="F936" s="9"/>
      <c r="G936" s="10"/>
      <c r="H936" s="7"/>
    </row>
    <row r="937" spans="1:8" x14ac:dyDescent="0.2">
      <c r="A937" s="7"/>
      <c r="B937" s="27" t="s">
        <v>817</v>
      </c>
      <c r="C937" s="7" t="s">
        <v>712</v>
      </c>
      <c r="D937" s="8">
        <v>34</v>
      </c>
      <c r="E937" s="8"/>
      <c r="F937" s="9"/>
      <c r="G937" s="10"/>
      <c r="H937" s="7"/>
    </row>
    <row r="938" spans="1:8" x14ac:dyDescent="0.2">
      <c r="A938" s="7"/>
      <c r="B938" s="7" t="s">
        <v>732</v>
      </c>
      <c r="C938" s="7"/>
      <c r="D938" s="8">
        <v>9</v>
      </c>
      <c r="E938" s="8"/>
      <c r="F938" s="9"/>
      <c r="G938" s="10"/>
      <c r="H938" s="7"/>
    </row>
    <row r="939" spans="1:8" x14ac:dyDescent="0.2">
      <c r="A939" s="7"/>
      <c r="B939" s="7" t="s">
        <v>632</v>
      </c>
      <c r="C939" s="7"/>
      <c r="D939" s="8">
        <v>110</v>
      </c>
      <c r="E939" s="8"/>
      <c r="F939" s="9"/>
      <c r="G939" s="10"/>
      <c r="H939" s="7"/>
    </row>
    <row r="940" spans="1:8" x14ac:dyDescent="0.2">
      <c r="A940" s="7"/>
      <c r="B940" s="7" t="s">
        <v>733</v>
      </c>
      <c r="C940" s="7"/>
      <c r="D940" s="8">
        <v>0.7</v>
      </c>
      <c r="E940" s="8"/>
      <c r="F940" s="9"/>
      <c r="G940" s="10"/>
      <c r="H940" s="7"/>
    </row>
    <row r="941" spans="1:8" x14ac:dyDescent="0.2">
      <c r="A941" s="7"/>
      <c r="B941" s="7" t="s">
        <v>734</v>
      </c>
      <c r="C941" s="7" t="s">
        <v>736</v>
      </c>
      <c r="D941" s="8">
        <v>6.4</v>
      </c>
      <c r="E941" s="8"/>
      <c r="F941" s="9"/>
      <c r="G941" s="10"/>
      <c r="H941" s="7"/>
    </row>
    <row r="942" spans="1:8" x14ac:dyDescent="0.2">
      <c r="A942" s="7"/>
      <c r="B942" s="27" t="s">
        <v>735</v>
      </c>
      <c r="C942" s="7"/>
      <c r="D942" s="8">
        <v>2.66</v>
      </c>
      <c r="E942" s="8"/>
      <c r="F942" s="9"/>
      <c r="G942" s="10"/>
      <c r="H942" s="7"/>
    </row>
    <row r="943" spans="1:8" x14ac:dyDescent="0.2">
      <c r="A943" s="7"/>
      <c r="B943" s="27" t="s">
        <v>737</v>
      </c>
      <c r="C943" s="7"/>
      <c r="D943" s="8">
        <v>0.75</v>
      </c>
      <c r="E943" s="8"/>
      <c r="F943" s="9"/>
      <c r="G943" s="10"/>
      <c r="H943" s="7"/>
    </row>
    <row r="944" spans="1:8" x14ac:dyDescent="0.2">
      <c r="A944" s="7"/>
      <c r="B944" s="7" t="s">
        <v>738</v>
      </c>
      <c r="C944" s="7"/>
      <c r="D944" s="8">
        <v>33</v>
      </c>
      <c r="E944" s="8"/>
      <c r="F944" s="9"/>
      <c r="G944" s="10"/>
      <c r="H944" s="7"/>
    </row>
    <row r="945" spans="1:8" x14ac:dyDescent="0.2">
      <c r="A945" s="7"/>
      <c r="B945" s="27" t="s">
        <v>743</v>
      </c>
      <c r="C945" s="7"/>
      <c r="D945" s="8">
        <v>420</v>
      </c>
      <c r="E945" s="8"/>
      <c r="F945" s="9"/>
      <c r="G945" s="10"/>
      <c r="H945" s="7"/>
    </row>
    <row r="949" spans="1:8" ht="18" x14ac:dyDescent="0.25">
      <c r="A949" s="11" t="s">
        <v>768</v>
      </c>
    </row>
    <row r="952" spans="1:8" ht="15" x14ac:dyDescent="0.25">
      <c r="A952" s="12" t="s">
        <v>0</v>
      </c>
      <c r="B952" s="12" t="s">
        <v>1</v>
      </c>
      <c r="C952" s="12" t="s">
        <v>19</v>
      </c>
      <c r="D952" s="13" t="s">
        <v>424</v>
      </c>
      <c r="E952" s="13"/>
      <c r="F952" s="14"/>
      <c r="G952" s="15"/>
      <c r="H952" s="12" t="s">
        <v>426</v>
      </c>
    </row>
    <row r="953" spans="1:8" x14ac:dyDescent="0.2">
      <c r="A953" s="7">
        <v>1057</v>
      </c>
      <c r="B953" s="41" t="s">
        <v>769</v>
      </c>
      <c r="C953" s="7">
        <v>80</v>
      </c>
      <c r="D953" s="8">
        <v>152</v>
      </c>
      <c r="E953" s="8"/>
      <c r="F953" s="9"/>
      <c r="G953" s="10"/>
      <c r="H953" s="7"/>
    </row>
    <row r="954" spans="1:8" x14ac:dyDescent="0.2">
      <c r="A954" s="7">
        <v>1239</v>
      </c>
      <c r="B954" s="41" t="s">
        <v>532</v>
      </c>
      <c r="C954" s="7" t="s">
        <v>770</v>
      </c>
      <c r="D954" s="8">
        <v>75</v>
      </c>
      <c r="E954" s="8"/>
      <c r="F954" s="9"/>
      <c r="G954" s="10"/>
      <c r="H954" s="7"/>
    </row>
    <row r="955" spans="1:8" x14ac:dyDescent="0.2">
      <c r="A955" s="7">
        <v>1001</v>
      </c>
      <c r="B955" s="41" t="s">
        <v>771</v>
      </c>
      <c r="C955" s="7" t="s">
        <v>772</v>
      </c>
      <c r="D955" s="8">
        <v>200</v>
      </c>
      <c r="E955" s="8"/>
      <c r="F955" s="9"/>
      <c r="G955" s="10"/>
      <c r="H955" s="7"/>
    </row>
    <row r="956" spans="1:8" x14ac:dyDescent="0.2">
      <c r="A956" s="7">
        <v>1010</v>
      </c>
      <c r="B956" s="41" t="s">
        <v>773</v>
      </c>
      <c r="C956" s="7" t="s">
        <v>627</v>
      </c>
      <c r="D956" s="8">
        <v>8.4600000000000009</v>
      </c>
      <c r="E956" s="8"/>
      <c r="F956" s="9"/>
      <c r="G956" s="10"/>
      <c r="H956" s="7"/>
    </row>
    <row r="957" spans="1:8" x14ac:dyDescent="0.2">
      <c r="A957" s="7">
        <v>1097</v>
      </c>
      <c r="B957" s="41" t="s">
        <v>581</v>
      </c>
      <c r="C957" s="7" t="s">
        <v>627</v>
      </c>
      <c r="D957" s="8">
        <v>8.5</v>
      </c>
      <c r="E957" s="8"/>
      <c r="F957" s="9"/>
      <c r="G957" s="10"/>
      <c r="H957" s="7"/>
    </row>
    <row r="958" spans="1:8" x14ac:dyDescent="0.2">
      <c r="A958" s="7">
        <v>1056</v>
      </c>
      <c r="B958" s="41" t="s">
        <v>774</v>
      </c>
      <c r="C958" s="7">
        <v>1</v>
      </c>
      <c r="D958" s="8">
        <v>7</v>
      </c>
      <c r="E958" s="8"/>
      <c r="F958" s="9"/>
      <c r="G958" s="10"/>
      <c r="H958" s="7"/>
    </row>
    <row r="959" spans="1:8" x14ac:dyDescent="0.2">
      <c r="A959" s="7">
        <v>1139</v>
      </c>
      <c r="B959" s="7" t="s">
        <v>775</v>
      </c>
      <c r="C959" s="7" t="s">
        <v>627</v>
      </c>
      <c r="D959" s="8">
        <v>7.3</v>
      </c>
      <c r="E959" s="8"/>
      <c r="F959" s="9"/>
      <c r="G959" s="10"/>
      <c r="H959" s="7"/>
    </row>
    <row r="960" spans="1:8" x14ac:dyDescent="0.2">
      <c r="A960" s="7">
        <v>1297</v>
      </c>
      <c r="B960" s="7" t="s">
        <v>776</v>
      </c>
      <c r="C960" s="7" t="s">
        <v>627</v>
      </c>
      <c r="D960" s="8">
        <v>9.5</v>
      </c>
      <c r="E960" s="8"/>
      <c r="F960" s="9"/>
      <c r="G960" s="10"/>
      <c r="H960" s="7"/>
    </row>
    <row r="961" spans="1:8" x14ac:dyDescent="0.2">
      <c r="A961" s="7">
        <v>1099</v>
      </c>
      <c r="B961" s="7" t="s">
        <v>777</v>
      </c>
      <c r="C961" s="7" t="s">
        <v>627</v>
      </c>
      <c r="D961" s="8">
        <v>7.5</v>
      </c>
      <c r="E961" s="8"/>
      <c r="F961" s="9"/>
      <c r="G961" s="10"/>
      <c r="H961" s="7"/>
    </row>
    <row r="962" spans="1:8" x14ac:dyDescent="0.2">
      <c r="A962" s="7">
        <v>1240</v>
      </c>
      <c r="B962" s="7" t="s">
        <v>778</v>
      </c>
      <c r="C962" s="7" t="s">
        <v>627</v>
      </c>
      <c r="D962" s="8">
        <v>18.5</v>
      </c>
      <c r="E962" s="8"/>
      <c r="F962" s="9"/>
      <c r="G962" s="10"/>
      <c r="H962" s="7"/>
    </row>
    <row r="963" spans="1:8" x14ac:dyDescent="0.2">
      <c r="A963" s="7"/>
      <c r="B963" s="7" t="s">
        <v>826</v>
      </c>
      <c r="C963" s="7" t="s">
        <v>627</v>
      </c>
      <c r="D963" s="8">
        <v>30</v>
      </c>
      <c r="E963" s="8"/>
      <c r="F963" s="9"/>
      <c r="G963" s="10"/>
      <c r="H963" s="7"/>
    </row>
    <row r="964" spans="1:8" x14ac:dyDescent="0.2">
      <c r="A964" s="7"/>
      <c r="B964" s="7" t="s">
        <v>100</v>
      </c>
      <c r="C964" s="7" t="s">
        <v>627</v>
      </c>
      <c r="D964" s="8">
        <v>30</v>
      </c>
      <c r="E964" s="8"/>
      <c r="F964" s="9"/>
      <c r="G964" s="10"/>
      <c r="H964" s="7"/>
    </row>
    <row r="965" spans="1:8" x14ac:dyDescent="0.2">
      <c r="A965" s="7"/>
      <c r="B965" s="7" t="s">
        <v>827</v>
      </c>
      <c r="C965" s="7" t="s">
        <v>627</v>
      </c>
      <c r="D965" s="8">
        <v>32</v>
      </c>
      <c r="E965" s="8"/>
      <c r="F965" s="9"/>
      <c r="G965" s="10"/>
      <c r="H965" s="7"/>
    </row>
    <row r="966" spans="1:8" x14ac:dyDescent="0.2">
      <c r="A966" s="7"/>
      <c r="B966" s="7"/>
      <c r="C966" s="7"/>
      <c r="D966" s="8"/>
      <c r="E966" s="8"/>
      <c r="F966" s="9"/>
      <c r="G966" s="10"/>
      <c r="H966" s="7"/>
    </row>
    <row r="967" spans="1:8" x14ac:dyDescent="0.2">
      <c r="A967" s="7"/>
      <c r="B967" s="7"/>
      <c r="C967" s="7"/>
      <c r="D967" s="8"/>
      <c r="E967" s="8"/>
      <c r="F967" s="9"/>
      <c r="G967" s="10"/>
      <c r="H967" s="7"/>
    </row>
    <row r="968" spans="1:8" x14ac:dyDescent="0.2">
      <c r="A968" s="7"/>
      <c r="B968" s="7"/>
      <c r="C968" s="7"/>
      <c r="D968" s="8"/>
      <c r="E968" s="8"/>
      <c r="F968" s="9"/>
      <c r="G968" s="10"/>
      <c r="H968" s="7"/>
    </row>
    <row r="969" spans="1:8" x14ac:dyDescent="0.2">
      <c r="A969" s="7"/>
      <c r="B969" s="7"/>
      <c r="C969" s="7"/>
      <c r="D969" s="8"/>
      <c r="E969" s="8"/>
      <c r="F969" s="9"/>
      <c r="G969" s="10"/>
      <c r="H969" s="7"/>
    </row>
    <row r="970" spans="1:8" x14ac:dyDescent="0.2">
      <c r="A970" s="7"/>
      <c r="B970" s="7"/>
      <c r="C970" s="7"/>
      <c r="D970" s="8"/>
      <c r="E970" s="8"/>
      <c r="F970" s="9"/>
      <c r="G970" s="10"/>
      <c r="H970" s="7"/>
    </row>
    <row r="971" spans="1:8" x14ac:dyDescent="0.2">
      <c r="A971" s="7"/>
      <c r="B971" s="7"/>
      <c r="C971" s="7"/>
      <c r="D971" s="8"/>
      <c r="E971" s="8"/>
      <c r="F971" s="9"/>
      <c r="G971" s="10"/>
      <c r="H971" s="7"/>
    </row>
    <row r="972" spans="1:8" x14ac:dyDescent="0.2">
      <c r="A972" s="7"/>
      <c r="B972" s="7"/>
      <c r="C972" s="7"/>
      <c r="D972" s="8"/>
      <c r="E972" s="8"/>
      <c r="F972" s="9"/>
      <c r="G972" s="10"/>
      <c r="H972" s="7"/>
    </row>
    <row r="973" spans="1:8" x14ac:dyDescent="0.2">
      <c r="A973" s="7"/>
      <c r="B973" s="7"/>
      <c r="C973" s="7"/>
      <c r="D973" s="8"/>
      <c r="E973" s="8"/>
      <c r="F973" s="9"/>
      <c r="G973" s="10"/>
      <c r="H973" s="7"/>
    </row>
    <row r="974" spans="1:8" x14ac:dyDescent="0.2">
      <c r="A974" s="7"/>
      <c r="B974" s="7"/>
      <c r="C974" s="7"/>
      <c r="D974" s="8"/>
      <c r="E974" s="8"/>
      <c r="F974" s="9"/>
      <c r="G974" s="10"/>
      <c r="H974" s="7"/>
    </row>
    <row r="977" spans="1:8" ht="20.25" x14ac:dyDescent="0.3">
      <c r="A977" s="29" t="s">
        <v>847</v>
      </c>
    </row>
    <row r="979" spans="1:8" ht="15" x14ac:dyDescent="0.25">
      <c r="A979" s="12" t="s">
        <v>0</v>
      </c>
      <c r="B979" s="12" t="s">
        <v>1</v>
      </c>
      <c r="C979" s="12" t="s">
        <v>19</v>
      </c>
      <c r="D979" s="13" t="s">
        <v>424</v>
      </c>
      <c r="E979" s="13"/>
      <c r="F979" s="14"/>
      <c r="G979" s="15"/>
      <c r="H979" s="12" t="s">
        <v>426</v>
      </c>
    </row>
    <row r="980" spans="1:8" x14ac:dyDescent="0.2">
      <c r="A980" s="7"/>
      <c r="B980" s="41" t="s">
        <v>728</v>
      </c>
      <c r="C980" s="7"/>
      <c r="D980" s="8">
        <v>5.5</v>
      </c>
      <c r="E980" s="8"/>
      <c r="F980" s="9"/>
      <c r="G980" s="10"/>
      <c r="H980" s="7"/>
    </row>
    <row r="981" spans="1:8" x14ac:dyDescent="0.2">
      <c r="A981" s="7"/>
      <c r="B981" s="41" t="s">
        <v>848</v>
      </c>
      <c r="C981" s="7"/>
      <c r="D981" s="8">
        <v>0.72</v>
      </c>
      <c r="E981" s="8"/>
      <c r="F981" s="9"/>
      <c r="G981" s="10"/>
      <c r="H981" s="7"/>
    </row>
    <row r="982" spans="1:8" x14ac:dyDescent="0.2">
      <c r="A982" s="7"/>
      <c r="B982" s="41" t="s">
        <v>849</v>
      </c>
      <c r="C982" s="7"/>
      <c r="D982" s="8">
        <v>0.49</v>
      </c>
      <c r="E982" s="8"/>
      <c r="F982" s="9"/>
      <c r="G982" s="10"/>
      <c r="H982" s="7"/>
    </row>
    <row r="983" spans="1:8" x14ac:dyDescent="0.2">
      <c r="A983" s="7"/>
      <c r="B983" s="41" t="s">
        <v>726</v>
      </c>
      <c r="C983" s="7"/>
      <c r="D983" s="8">
        <v>1</v>
      </c>
      <c r="E983" s="8"/>
      <c r="F983" s="9"/>
      <c r="G983" s="10"/>
      <c r="H983" s="7"/>
    </row>
    <row r="984" spans="1:8" x14ac:dyDescent="0.2">
      <c r="A984" s="7"/>
      <c r="B984" s="7" t="s">
        <v>727</v>
      </c>
      <c r="C984" s="7"/>
      <c r="D984" s="8">
        <v>1.71</v>
      </c>
      <c r="E984" s="8"/>
      <c r="F984" s="9"/>
      <c r="G984" s="10"/>
      <c r="H984" s="7"/>
    </row>
    <row r="985" spans="1:8" x14ac:dyDescent="0.2">
      <c r="A985" s="7"/>
      <c r="B985" s="7"/>
      <c r="C985" s="7"/>
      <c r="D985" s="8"/>
      <c r="E985" s="8"/>
      <c r="F985" s="9"/>
      <c r="G985" s="10"/>
      <c r="H985" s="7"/>
    </row>
    <row r="986" spans="1:8" x14ac:dyDescent="0.2">
      <c r="A986" s="7"/>
      <c r="B986" s="7"/>
      <c r="C986" s="7"/>
      <c r="D986" s="8"/>
      <c r="E986" s="8"/>
      <c r="F986" s="9"/>
      <c r="G986" s="10"/>
      <c r="H986" s="7"/>
    </row>
    <row r="987" spans="1:8" x14ac:dyDescent="0.2">
      <c r="A987" s="7"/>
      <c r="B987" s="7"/>
      <c r="C987" s="7"/>
      <c r="D987" s="8"/>
      <c r="E987" s="8"/>
      <c r="F987" s="9"/>
      <c r="G987" s="10"/>
      <c r="H987" s="7"/>
    </row>
    <row r="988" spans="1:8" x14ac:dyDescent="0.2">
      <c r="A988" s="7"/>
      <c r="B988" s="7"/>
      <c r="C988" s="7"/>
      <c r="D988" s="8"/>
      <c r="E988" s="8"/>
      <c r="F988" s="9"/>
      <c r="G988" s="10"/>
      <c r="H988" s="7"/>
    </row>
    <row r="989" spans="1:8" x14ac:dyDescent="0.2">
      <c r="A989" s="7"/>
      <c r="B989" s="7"/>
      <c r="C989" s="7"/>
      <c r="D989" s="8"/>
      <c r="E989" s="8"/>
      <c r="F989" s="9"/>
      <c r="G989" s="10"/>
      <c r="H989" s="7"/>
    </row>
    <row r="990" spans="1:8" x14ac:dyDescent="0.2">
      <c r="A990" s="7"/>
      <c r="B990" s="7"/>
      <c r="C990" s="7"/>
      <c r="D990" s="8"/>
      <c r="E990" s="8"/>
      <c r="F990" s="9"/>
      <c r="G990" s="10"/>
      <c r="H990" s="7"/>
    </row>
    <row r="991" spans="1:8" x14ac:dyDescent="0.2">
      <c r="A991" s="7"/>
      <c r="B991" s="7"/>
      <c r="C991" s="7"/>
      <c r="D991" s="8"/>
      <c r="E991" s="8"/>
      <c r="F991" s="9"/>
      <c r="G991" s="10"/>
      <c r="H991" s="7"/>
    </row>
    <row r="992" spans="1:8" x14ac:dyDescent="0.2">
      <c r="A992" s="7"/>
      <c r="B992" s="7"/>
      <c r="C992" s="7"/>
      <c r="D992" s="8"/>
      <c r="E992" s="8"/>
      <c r="F992" s="9"/>
      <c r="G992" s="10"/>
      <c r="H992" s="7"/>
    </row>
    <row r="996" spans="1:8" ht="20.25" x14ac:dyDescent="0.3">
      <c r="A996" s="29" t="s">
        <v>723</v>
      </c>
    </row>
    <row r="998" spans="1:8" ht="15" x14ac:dyDescent="0.25">
      <c r="A998" s="12" t="s">
        <v>0</v>
      </c>
      <c r="B998" s="12" t="s">
        <v>1</v>
      </c>
      <c r="C998" s="12" t="s">
        <v>19</v>
      </c>
      <c r="D998" s="13" t="s">
        <v>167</v>
      </c>
      <c r="E998" s="13"/>
      <c r="F998" s="14" t="s">
        <v>113</v>
      </c>
      <c r="G998" s="15" t="s">
        <v>493</v>
      </c>
      <c r="H998" s="12" t="s">
        <v>426</v>
      </c>
    </row>
    <row r="999" spans="1:8" x14ac:dyDescent="0.2">
      <c r="A999" s="7"/>
      <c r="B999" s="7" t="s">
        <v>724</v>
      </c>
      <c r="C999" s="7"/>
      <c r="D999" s="8">
        <v>1.2</v>
      </c>
      <c r="E999" s="8"/>
      <c r="F999" s="9"/>
      <c r="G999" s="10"/>
      <c r="H999" s="7"/>
    </row>
    <row r="1000" spans="1:8" x14ac:dyDescent="0.2">
      <c r="A1000" s="7"/>
      <c r="B1000" s="7" t="s">
        <v>725</v>
      </c>
      <c r="C1000" s="7"/>
      <c r="D1000" s="8">
        <v>1</v>
      </c>
      <c r="E1000" s="8"/>
      <c r="F1000" s="9"/>
      <c r="G1000" s="10"/>
      <c r="H1000" s="7"/>
    </row>
    <row r="1001" spans="1:8" x14ac:dyDescent="0.2">
      <c r="A1001" s="7"/>
      <c r="B1001" s="7" t="s">
        <v>726</v>
      </c>
      <c r="C1001" s="7"/>
      <c r="D1001" s="8">
        <v>1.9</v>
      </c>
      <c r="E1001" s="8"/>
      <c r="F1001" s="9"/>
      <c r="G1001" s="10"/>
      <c r="H1001" s="7"/>
    </row>
    <row r="1002" spans="1:8" x14ac:dyDescent="0.2">
      <c r="A1002" s="7"/>
      <c r="B1002" s="7" t="s">
        <v>727</v>
      </c>
      <c r="C1002" s="7"/>
      <c r="D1002" s="8">
        <v>2</v>
      </c>
      <c r="E1002" s="8"/>
      <c r="F1002" s="9"/>
      <c r="G1002" s="10"/>
      <c r="H1002" s="7"/>
    </row>
    <row r="1003" spans="1:8" x14ac:dyDescent="0.2">
      <c r="A1003" s="7"/>
      <c r="B1003" s="7" t="s">
        <v>728</v>
      </c>
      <c r="C1003" s="7"/>
      <c r="D1003" s="8">
        <v>9</v>
      </c>
      <c r="E1003" s="8"/>
      <c r="F1003" s="9"/>
      <c r="G1003" s="10"/>
      <c r="H1003" s="7"/>
    </row>
    <row r="1004" spans="1:8" x14ac:dyDescent="0.2">
      <c r="A1004" s="7"/>
      <c r="B1004" s="7" t="s">
        <v>605</v>
      </c>
      <c r="C1004" s="7"/>
      <c r="D1004" s="8">
        <v>2</v>
      </c>
      <c r="E1004" s="8"/>
      <c r="F1004" s="9"/>
      <c r="G1004" s="10"/>
      <c r="H1004" s="7"/>
    </row>
    <row r="1005" spans="1:8" x14ac:dyDescent="0.2">
      <c r="A1005" s="7"/>
      <c r="B1005" s="7" t="s">
        <v>729</v>
      </c>
      <c r="C1005" s="7"/>
      <c r="D1005" s="8">
        <v>2</v>
      </c>
      <c r="E1005" s="8"/>
      <c r="F1005" s="9"/>
      <c r="G1005" s="10"/>
      <c r="H1005" s="7"/>
    </row>
    <row r="1006" spans="1:8" x14ac:dyDescent="0.2">
      <c r="A1006" s="7"/>
      <c r="B1006" s="7" t="s">
        <v>730</v>
      </c>
      <c r="C1006" s="7"/>
      <c r="D1006" s="8">
        <v>35</v>
      </c>
      <c r="E1006" s="8"/>
      <c r="F1006" s="9"/>
      <c r="G1006" s="10"/>
      <c r="H1006" s="7"/>
    </row>
    <row r="1007" spans="1:8" x14ac:dyDescent="0.2">
      <c r="A1007" s="7"/>
      <c r="B1007" s="7" t="s">
        <v>731</v>
      </c>
      <c r="C1007" s="7"/>
      <c r="D1007" s="8">
        <v>1</v>
      </c>
      <c r="E1007" s="8"/>
      <c r="F1007" s="9"/>
      <c r="G1007" s="10"/>
      <c r="H1007" s="7"/>
    </row>
    <row r="1008" spans="1:8" x14ac:dyDescent="0.2">
      <c r="A1008" s="7"/>
      <c r="B1008" s="7"/>
      <c r="C1008" s="7"/>
      <c r="D1008" s="8"/>
      <c r="E1008" s="8"/>
      <c r="F1008" s="9"/>
      <c r="G1008" s="10"/>
      <c r="H1008" s="7"/>
    </row>
    <row r="1009" spans="1:8" x14ac:dyDescent="0.2">
      <c r="A1009" s="7"/>
      <c r="B1009" s="27"/>
      <c r="C1009" s="27"/>
      <c r="D1009" s="8"/>
      <c r="E1009" s="8"/>
      <c r="F1009" s="9"/>
      <c r="G1009" s="10"/>
      <c r="H1009" s="7"/>
    </row>
    <row r="1010" spans="1:8" x14ac:dyDescent="0.2">
      <c r="A1010" s="7"/>
      <c r="B1010" s="27"/>
      <c r="C1010" s="7"/>
      <c r="D1010" s="8"/>
      <c r="E1010" s="8"/>
      <c r="F1010" s="9"/>
      <c r="G1010" s="10"/>
      <c r="H1010" s="7"/>
    </row>
    <row r="1011" spans="1:8" x14ac:dyDescent="0.2">
      <c r="A1011" s="23"/>
      <c r="B1011" s="28"/>
      <c r="C1011" s="23"/>
      <c r="D1011" s="24"/>
      <c r="E1011" s="24"/>
      <c r="F1011" s="25"/>
      <c r="G1011" s="26"/>
      <c r="H1011" s="23"/>
    </row>
    <row r="1015" spans="1:8" ht="18" x14ac:dyDescent="0.25">
      <c r="A1015" s="65" t="s">
        <v>759</v>
      </c>
      <c r="B1015" s="66"/>
      <c r="C1015" s="66"/>
      <c r="D1015" s="67"/>
      <c r="E1015" s="67"/>
      <c r="F1015" s="68"/>
      <c r="G1015" s="69"/>
      <c r="H1015" s="66"/>
    </row>
    <row r="1016" spans="1:8" x14ac:dyDescent="0.2">
      <c r="A1016" s="66"/>
      <c r="B1016" s="66"/>
      <c r="C1016" s="66"/>
      <c r="D1016" s="67"/>
      <c r="E1016" s="67"/>
      <c r="F1016" s="68"/>
      <c r="G1016" s="69"/>
      <c r="H1016" s="66"/>
    </row>
    <row r="1017" spans="1:8" x14ac:dyDescent="0.2">
      <c r="A1017" s="66"/>
      <c r="B1017" s="66"/>
      <c r="C1017" s="66"/>
      <c r="D1017" s="67"/>
      <c r="E1017" s="67"/>
      <c r="F1017" s="68"/>
      <c r="G1017" s="69"/>
      <c r="H1017" s="66"/>
    </row>
    <row r="1018" spans="1:8" ht="15" x14ac:dyDescent="0.25">
      <c r="A1018" s="70" t="s">
        <v>0</v>
      </c>
      <c r="B1018" s="70" t="s">
        <v>1</v>
      </c>
      <c r="C1018" s="70" t="s">
        <v>19</v>
      </c>
      <c r="D1018" s="71" t="s">
        <v>424</v>
      </c>
      <c r="E1018" s="71"/>
      <c r="F1018" s="72"/>
      <c r="G1018" s="73"/>
      <c r="H1018" s="70" t="s">
        <v>426</v>
      </c>
    </row>
    <row r="1019" spans="1:8" x14ac:dyDescent="0.2">
      <c r="A1019" s="74"/>
      <c r="B1019" s="75" t="s">
        <v>761</v>
      </c>
      <c r="C1019" s="74"/>
      <c r="D1019" s="76">
        <v>3.32</v>
      </c>
      <c r="E1019" s="76"/>
      <c r="F1019" s="77"/>
      <c r="G1019" s="78"/>
      <c r="H1019" s="74"/>
    </row>
    <row r="1020" spans="1:8" x14ac:dyDescent="0.2">
      <c r="A1020" s="74"/>
      <c r="B1020" s="75" t="s">
        <v>760</v>
      </c>
      <c r="C1020" s="74"/>
      <c r="D1020" s="76">
        <v>3</v>
      </c>
      <c r="E1020" s="76"/>
      <c r="F1020" s="77"/>
      <c r="G1020" s="78"/>
      <c r="H1020" s="74"/>
    </row>
    <row r="1021" spans="1:8" x14ac:dyDescent="0.2">
      <c r="A1021" s="74"/>
      <c r="B1021" s="75" t="s">
        <v>764</v>
      </c>
      <c r="C1021" s="74"/>
      <c r="D1021" s="76">
        <v>10</v>
      </c>
      <c r="E1021" s="76"/>
      <c r="F1021" s="77"/>
      <c r="G1021" s="78"/>
      <c r="H1021" s="74"/>
    </row>
    <row r="1022" spans="1:8" x14ac:dyDescent="0.2">
      <c r="A1022" s="74"/>
      <c r="B1022" s="75" t="s">
        <v>728</v>
      </c>
      <c r="C1022" s="74"/>
      <c r="D1022" s="76">
        <v>9.4</v>
      </c>
      <c r="E1022" s="76"/>
      <c r="F1022" s="77"/>
      <c r="G1022" s="78"/>
      <c r="H1022" s="74"/>
    </row>
    <row r="1023" spans="1:8" x14ac:dyDescent="0.2">
      <c r="A1023" s="74"/>
      <c r="B1023" s="75" t="s">
        <v>977</v>
      </c>
      <c r="C1023" s="74"/>
      <c r="D1023" s="76">
        <v>1.03</v>
      </c>
      <c r="E1023" s="76"/>
      <c r="F1023" s="77"/>
      <c r="G1023" s="78"/>
      <c r="H1023" s="74"/>
    </row>
    <row r="1024" spans="1:8" x14ac:dyDescent="0.2">
      <c r="A1024" s="74"/>
      <c r="B1024" s="75" t="s">
        <v>976</v>
      </c>
      <c r="C1024" s="74"/>
      <c r="D1024" s="76">
        <v>1.37</v>
      </c>
      <c r="E1024" s="76"/>
      <c r="F1024" s="77"/>
      <c r="G1024" s="78"/>
      <c r="H1024" s="74"/>
    </row>
    <row r="1025" spans="1:8" x14ac:dyDescent="0.2">
      <c r="A1025" s="74"/>
      <c r="B1025" s="75" t="s">
        <v>763</v>
      </c>
      <c r="C1025" s="74"/>
      <c r="D1025" s="76">
        <v>1</v>
      </c>
      <c r="E1025" s="76"/>
      <c r="F1025" s="77"/>
      <c r="G1025" s="78"/>
      <c r="H1025" s="74"/>
    </row>
    <row r="1026" spans="1:8" x14ac:dyDescent="0.2">
      <c r="A1026" s="74"/>
      <c r="B1026" s="75" t="s">
        <v>762</v>
      </c>
      <c r="C1026" s="74"/>
      <c r="D1026" s="76">
        <v>4</v>
      </c>
      <c r="E1026" s="76"/>
      <c r="F1026" s="77"/>
      <c r="G1026" s="78"/>
      <c r="H1026" s="74"/>
    </row>
    <row r="1027" spans="1:8" x14ac:dyDescent="0.2">
      <c r="A1027" s="74"/>
      <c r="B1027" s="75" t="s">
        <v>980</v>
      </c>
      <c r="C1027" s="74"/>
      <c r="D1027" s="76">
        <v>1.37</v>
      </c>
      <c r="E1027" s="76"/>
      <c r="F1027" s="77"/>
      <c r="G1027" s="78"/>
      <c r="H1027" s="74"/>
    </row>
    <row r="1028" spans="1:8" x14ac:dyDescent="0.2">
      <c r="A1028" s="74"/>
      <c r="B1028" s="75" t="s">
        <v>981</v>
      </c>
      <c r="C1028" s="74"/>
      <c r="D1028" s="76">
        <v>2.2200000000000002</v>
      </c>
      <c r="E1028" s="76"/>
      <c r="F1028" s="77"/>
      <c r="G1028" s="78"/>
      <c r="H1028" s="74"/>
    </row>
    <row r="1029" spans="1:8" x14ac:dyDescent="0.2">
      <c r="A1029" s="74"/>
      <c r="B1029" s="75" t="s">
        <v>978</v>
      </c>
      <c r="C1029" s="74"/>
      <c r="D1029" s="76">
        <v>35.9</v>
      </c>
      <c r="E1029" s="76"/>
      <c r="F1029" s="77"/>
      <c r="G1029" s="78"/>
      <c r="H1029" s="74"/>
    </row>
    <row r="1030" spans="1:8" x14ac:dyDescent="0.2">
      <c r="A1030" s="74"/>
      <c r="B1030" s="75" t="s">
        <v>979</v>
      </c>
      <c r="C1030" s="74"/>
      <c r="D1030" s="76">
        <v>0.85</v>
      </c>
      <c r="E1030" s="76"/>
      <c r="F1030" s="77"/>
      <c r="G1030" s="78"/>
      <c r="H1030" s="74"/>
    </row>
    <row r="1031" spans="1:8" ht="14.25" customHeight="1" x14ac:dyDescent="0.2">
      <c r="A1031" s="74"/>
      <c r="B1031" s="74"/>
      <c r="C1031" s="74"/>
      <c r="D1031" s="76"/>
      <c r="E1031" s="76"/>
      <c r="F1031" s="77"/>
      <c r="G1031" s="78"/>
      <c r="H1031" s="74"/>
    </row>
    <row r="1032" spans="1:8" x14ac:dyDescent="0.2">
      <c r="A1032" s="23"/>
      <c r="B1032" s="23"/>
      <c r="C1032" s="23"/>
      <c r="D1032" s="24"/>
      <c r="E1032" s="24"/>
      <c r="F1032" s="25"/>
      <c r="G1032" s="26"/>
      <c r="H1032" s="23"/>
    </row>
    <row r="1033" spans="1:8" x14ac:dyDescent="0.2">
      <c r="A1033" s="23"/>
      <c r="B1033" s="23"/>
      <c r="C1033" s="23"/>
      <c r="D1033" s="24"/>
      <c r="E1033" s="24"/>
      <c r="F1033" s="25"/>
      <c r="G1033" s="26"/>
      <c r="H1033" s="23"/>
    </row>
    <row r="1034" spans="1:8" ht="18" x14ac:dyDescent="0.25">
      <c r="A1034" s="11" t="s">
        <v>852</v>
      </c>
    </row>
    <row r="1036" spans="1:8" ht="15" x14ac:dyDescent="0.25">
      <c r="A1036" s="7"/>
      <c r="B1036" s="12" t="s">
        <v>1</v>
      </c>
      <c r="C1036" s="12" t="s">
        <v>19</v>
      </c>
      <c r="D1036" s="13" t="s">
        <v>424</v>
      </c>
      <c r="E1036" s="13"/>
      <c r="F1036" s="33"/>
      <c r="G1036" s="34"/>
      <c r="H1036" s="31"/>
    </row>
    <row r="1037" spans="1:8" x14ac:dyDescent="0.2">
      <c r="A1037" s="7"/>
      <c r="B1037" s="41" t="s">
        <v>728</v>
      </c>
      <c r="C1037" s="7"/>
      <c r="D1037" s="8">
        <v>5.9</v>
      </c>
      <c r="E1037" s="8"/>
      <c r="F1037" s="9"/>
      <c r="G1037" s="10"/>
      <c r="H1037" s="7"/>
    </row>
    <row r="1038" spans="1:8" x14ac:dyDescent="0.2">
      <c r="A1038" s="7"/>
      <c r="B1038" s="41" t="s">
        <v>726</v>
      </c>
      <c r="C1038" s="7"/>
      <c r="D1038" s="8">
        <v>1.5</v>
      </c>
      <c r="E1038" s="8"/>
      <c r="F1038" s="9"/>
      <c r="G1038" s="10"/>
      <c r="H1038" s="7"/>
    </row>
    <row r="1039" spans="1:8" x14ac:dyDescent="0.2">
      <c r="A1039" s="7"/>
      <c r="B1039" s="41" t="s">
        <v>853</v>
      </c>
      <c r="C1039" s="7"/>
      <c r="D1039" s="8">
        <v>1.5</v>
      </c>
      <c r="E1039" s="8"/>
      <c r="F1039" s="9"/>
      <c r="G1039" s="10"/>
      <c r="H1039" s="7"/>
    </row>
    <row r="1040" spans="1:8" x14ac:dyDescent="0.2">
      <c r="A1040" s="7"/>
      <c r="B1040" s="41" t="s">
        <v>854</v>
      </c>
      <c r="C1040" s="7"/>
      <c r="D1040" s="8">
        <v>3</v>
      </c>
      <c r="E1040" s="8"/>
      <c r="F1040" s="9"/>
      <c r="G1040" s="10"/>
      <c r="H1040" s="7"/>
    </row>
    <row r="1041" spans="1:8" x14ac:dyDescent="0.2">
      <c r="A1041" s="7"/>
      <c r="B1041" s="7"/>
      <c r="C1041" s="7"/>
      <c r="D1041" s="8"/>
      <c r="E1041" s="8"/>
      <c r="F1041" s="9"/>
      <c r="G1041" s="10"/>
      <c r="H1041" s="7"/>
    </row>
    <row r="1042" spans="1:8" x14ac:dyDescent="0.2">
      <c r="A1042" s="7"/>
      <c r="B1042" s="7"/>
      <c r="C1042" s="7"/>
      <c r="D1042" s="8"/>
      <c r="E1042" s="8"/>
      <c r="F1042" s="9"/>
      <c r="G1042" s="10"/>
      <c r="H1042" s="7"/>
    </row>
    <row r="1043" spans="1:8" x14ac:dyDescent="0.2">
      <c r="A1043" s="7"/>
      <c r="B1043" s="7"/>
      <c r="C1043" s="7"/>
      <c r="D1043" s="8"/>
      <c r="E1043" s="8"/>
      <c r="F1043" s="9"/>
      <c r="G1043" s="10"/>
      <c r="H1043" s="7"/>
    </row>
    <row r="1044" spans="1:8" x14ac:dyDescent="0.2">
      <c r="A1044" s="7"/>
      <c r="B1044" s="7"/>
      <c r="C1044" s="7"/>
      <c r="D1044" s="8"/>
      <c r="E1044" s="8"/>
      <c r="F1044" s="9"/>
      <c r="G1044" s="10"/>
      <c r="H1044" s="7"/>
    </row>
    <row r="1045" spans="1:8" x14ac:dyDescent="0.2">
      <c r="A1045" s="7"/>
      <c r="B1045" s="7"/>
      <c r="C1045" s="7"/>
      <c r="D1045" s="8"/>
      <c r="E1045" s="8"/>
      <c r="F1045" s="9"/>
      <c r="G1045" s="10"/>
      <c r="H1045" s="7"/>
    </row>
    <row r="1046" spans="1:8" x14ac:dyDescent="0.2">
      <c r="A1046" s="7"/>
      <c r="B1046" s="7"/>
      <c r="C1046" s="7"/>
      <c r="D1046" s="8"/>
      <c r="E1046" s="8"/>
      <c r="F1046" s="9"/>
      <c r="G1046" s="10"/>
      <c r="H1046" s="7"/>
    </row>
    <row r="1047" spans="1:8" x14ac:dyDescent="0.2">
      <c r="A1047" s="7"/>
      <c r="B1047" s="7"/>
      <c r="C1047" s="7"/>
      <c r="D1047" s="8"/>
      <c r="E1047" s="8"/>
      <c r="F1047" s="9"/>
      <c r="G1047" s="10"/>
      <c r="H1047" s="7"/>
    </row>
    <row r="1048" spans="1:8" x14ac:dyDescent="0.2">
      <c r="A1048" s="7"/>
      <c r="B1048" s="7"/>
      <c r="C1048" s="7"/>
      <c r="D1048" s="8"/>
      <c r="E1048" s="8"/>
      <c r="F1048" s="9"/>
      <c r="G1048" s="10"/>
      <c r="H1048" s="7"/>
    </row>
    <row r="1052" spans="1:8" ht="18" x14ac:dyDescent="0.25">
      <c r="A1052" s="66"/>
      <c r="B1052" s="65" t="s">
        <v>855</v>
      </c>
      <c r="C1052" s="66"/>
      <c r="D1052" s="67"/>
      <c r="E1052" s="67"/>
      <c r="F1052" s="68"/>
      <c r="G1052" s="69"/>
      <c r="H1052" s="66"/>
    </row>
    <row r="1053" spans="1:8" x14ac:dyDescent="0.2">
      <c r="A1053" s="66"/>
      <c r="B1053" s="66"/>
      <c r="C1053" s="66"/>
      <c r="D1053" s="67"/>
      <c r="E1053" s="67"/>
      <c r="F1053" s="68"/>
      <c r="G1053" s="69"/>
      <c r="H1053" s="66"/>
    </row>
    <row r="1054" spans="1:8" ht="15" x14ac:dyDescent="0.25">
      <c r="A1054" s="70" t="s">
        <v>0</v>
      </c>
      <c r="B1054" s="70" t="s">
        <v>1</v>
      </c>
      <c r="C1054" s="70" t="s">
        <v>19</v>
      </c>
      <c r="D1054" s="71" t="s">
        <v>424</v>
      </c>
      <c r="E1054" s="71" t="s">
        <v>113</v>
      </c>
      <c r="F1054" s="91"/>
      <c r="G1054" s="92"/>
      <c r="H1054" s="93"/>
    </row>
    <row r="1055" spans="1:8" x14ac:dyDescent="0.2">
      <c r="A1055" s="74"/>
      <c r="B1055" s="74" t="s">
        <v>894</v>
      </c>
      <c r="C1055" s="74">
        <v>7</v>
      </c>
      <c r="D1055" s="76">
        <v>34.08</v>
      </c>
      <c r="E1055" s="76"/>
      <c r="F1055" s="77"/>
      <c r="G1055" s="78"/>
      <c r="H1055" s="74"/>
    </row>
    <row r="1056" spans="1:8" x14ac:dyDescent="0.2">
      <c r="A1056" s="74"/>
      <c r="B1056" s="74" t="s">
        <v>893</v>
      </c>
      <c r="C1056" s="74">
        <v>7</v>
      </c>
      <c r="D1056" s="76">
        <v>34.08</v>
      </c>
      <c r="E1056" s="76"/>
      <c r="F1056" s="77"/>
      <c r="G1056" s="78"/>
      <c r="H1056" s="74"/>
    </row>
    <row r="1057" spans="1:8" x14ac:dyDescent="0.2">
      <c r="A1057" s="74"/>
      <c r="B1057" s="75" t="s">
        <v>97</v>
      </c>
      <c r="C1057" s="74"/>
      <c r="D1057" s="76">
        <v>19.489999999999998</v>
      </c>
      <c r="E1057" s="76">
        <v>13.64</v>
      </c>
      <c r="F1057" s="77"/>
      <c r="G1057" s="78"/>
      <c r="H1057" s="74"/>
    </row>
    <row r="1058" spans="1:8" x14ac:dyDescent="0.2">
      <c r="A1058" s="74"/>
      <c r="B1058" s="74" t="s">
        <v>878</v>
      </c>
      <c r="C1058" s="74">
        <v>30</v>
      </c>
      <c r="D1058" s="76">
        <v>6.31</v>
      </c>
      <c r="E1058" s="76"/>
      <c r="F1058" s="77"/>
      <c r="G1058" s="78"/>
      <c r="H1058" s="74"/>
    </row>
    <row r="1059" spans="1:8" x14ac:dyDescent="0.2">
      <c r="A1059" s="74"/>
      <c r="B1059" s="74" t="s">
        <v>879</v>
      </c>
      <c r="C1059" s="74">
        <v>30</v>
      </c>
      <c r="D1059" s="76">
        <v>6.31</v>
      </c>
      <c r="E1059" s="76"/>
      <c r="F1059" s="77"/>
      <c r="G1059" s="78"/>
      <c r="H1059" s="74"/>
    </row>
    <row r="1060" spans="1:8" x14ac:dyDescent="0.2">
      <c r="A1060" s="74"/>
      <c r="B1060" s="75" t="s">
        <v>96</v>
      </c>
      <c r="C1060" s="74">
        <v>48</v>
      </c>
      <c r="D1060" s="76">
        <v>20.85</v>
      </c>
      <c r="E1060" s="76">
        <v>14.64</v>
      </c>
      <c r="F1060" s="77"/>
      <c r="G1060" s="78"/>
      <c r="H1060" s="74"/>
    </row>
    <row r="1061" spans="1:8" x14ac:dyDescent="0.2">
      <c r="A1061" s="74"/>
      <c r="B1061" s="75" t="s">
        <v>983</v>
      </c>
      <c r="C1061" s="74"/>
      <c r="D1061" s="76">
        <v>2.23</v>
      </c>
      <c r="E1061" s="76">
        <v>1.67</v>
      </c>
      <c r="F1061" s="77"/>
      <c r="G1061" s="78"/>
      <c r="H1061" s="74"/>
    </row>
    <row r="1062" spans="1:8" x14ac:dyDescent="0.2">
      <c r="A1062" s="74"/>
      <c r="B1062" s="75" t="s">
        <v>984</v>
      </c>
      <c r="C1062" s="74"/>
      <c r="D1062" s="76">
        <v>1.54</v>
      </c>
      <c r="E1062" s="76">
        <v>1.1599999999999999</v>
      </c>
      <c r="F1062" s="77"/>
      <c r="G1062" s="78"/>
      <c r="H1062" s="74"/>
    </row>
    <row r="1063" spans="1:8" x14ac:dyDescent="0.2">
      <c r="A1063" s="74"/>
      <c r="B1063" s="75" t="s">
        <v>856</v>
      </c>
      <c r="C1063" s="74"/>
      <c r="D1063" s="76">
        <v>1.56</v>
      </c>
      <c r="E1063" s="76">
        <v>1.17</v>
      </c>
      <c r="F1063" s="77"/>
      <c r="G1063" s="78"/>
      <c r="H1063" s="74"/>
    </row>
    <row r="1064" spans="1:8" x14ac:dyDescent="0.2">
      <c r="A1064" s="74"/>
      <c r="B1064" s="75" t="s">
        <v>859</v>
      </c>
      <c r="C1064" s="74"/>
      <c r="D1064" s="76">
        <v>3.4</v>
      </c>
      <c r="E1064" s="76">
        <v>2.5499999999999998</v>
      </c>
      <c r="F1064" s="77"/>
      <c r="G1064" s="78"/>
      <c r="H1064" s="74"/>
    </row>
    <row r="1065" spans="1:8" x14ac:dyDescent="0.2">
      <c r="A1065" s="74"/>
      <c r="B1065" s="75" t="s">
        <v>857</v>
      </c>
      <c r="C1065" s="74">
        <v>72</v>
      </c>
      <c r="D1065" s="76">
        <v>1.56</v>
      </c>
      <c r="E1065" s="76"/>
      <c r="F1065" s="77"/>
      <c r="G1065" s="78"/>
      <c r="H1065" s="74"/>
    </row>
    <row r="1066" spans="1:8" x14ac:dyDescent="0.2">
      <c r="A1066" s="74"/>
      <c r="B1066" s="75" t="s">
        <v>858</v>
      </c>
      <c r="C1066" s="74">
        <v>32</v>
      </c>
      <c r="D1066" s="76">
        <v>2.84</v>
      </c>
      <c r="E1066" s="76"/>
      <c r="F1066" s="77"/>
      <c r="G1066" s="78"/>
      <c r="H1066" s="74"/>
    </row>
    <row r="1067" spans="1:8" x14ac:dyDescent="0.2">
      <c r="A1067" s="74"/>
      <c r="B1067" s="74" t="s">
        <v>1003</v>
      </c>
      <c r="C1067" s="74"/>
      <c r="D1067" s="76">
        <v>5.57</v>
      </c>
      <c r="E1067" s="76">
        <v>4.18</v>
      </c>
      <c r="F1067" s="77"/>
      <c r="G1067" s="78"/>
      <c r="H1067" s="74"/>
    </row>
    <row r="1068" spans="1:8" x14ac:dyDescent="0.2">
      <c r="A1068" s="74"/>
      <c r="B1068" s="74" t="s">
        <v>873</v>
      </c>
      <c r="C1068" s="74">
        <v>12</v>
      </c>
      <c r="D1068" s="76">
        <v>16.079999999999998</v>
      </c>
      <c r="E1068" s="76"/>
      <c r="F1068" s="77"/>
      <c r="G1068" s="78"/>
      <c r="H1068" s="74"/>
    </row>
    <row r="1069" spans="1:8" x14ac:dyDescent="0.2">
      <c r="A1069" s="74"/>
      <c r="B1069" s="74" t="s">
        <v>869</v>
      </c>
      <c r="C1069" s="74">
        <v>12</v>
      </c>
      <c r="D1069" s="76">
        <v>16.079999999999998</v>
      </c>
      <c r="E1069" s="76"/>
      <c r="F1069" s="77"/>
      <c r="G1069" s="78"/>
      <c r="H1069" s="74"/>
    </row>
    <row r="1070" spans="1:8" x14ac:dyDescent="0.2">
      <c r="A1070" s="74"/>
      <c r="B1070" s="74" t="s">
        <v>896</v>
      </c>
      <c r="C1070" s="74">
        <v>8</v>
      </c>
      <c r="D1070" s="94">
        <v>24.19</v>
      </c>
      <c r="E1070" s="76">
        <v>16.93</v>
      </c>
      <c r="F1070" s="77"/>
      <c r="G1070" s="78"/>
      <c r="H1070" s="74"/>
    </row>
    <row r="1071" spans="1:8" x14ac:dyDescent="0.2">
      <c r="A1071" s="74"/>
      <c r="B1071" s="74" t="s">
        <v>862</v>
      </c>
      <c r="C1071" s="74">
        <v>48</v>
      </c>
      <c r="D1071" s="76">
        <v>5.3</v>
      </c>
      <c r="E1071" s="76"/>
      <c r="F1071" s="77"/>
      <c r="G1071" s="78"/>
      <c r="H1071" s="74"/>
    </row>
    <row r="1072" spans="1:8" x14ac:dyDescent="0.2">
      <c r="A1072" s="74"/>
      <c r="B1072" s="74" t="s">
        <v>865</v>
      </c>
      <c r="C1072" s="74">
        <v>36</v>
      </c>
      <c r="D1072" s="76">
        <v>5.3</v>
      </c>
      <c r="E1072" s="76"/>
      <c r="F1072" s="77"/>
      <c r="G1072" s="78"/>
      <c r="H1072" s="74"/>
    </row>
    <row r="1073" spans="1:8" x14ac:dyDescent="0.2">
      <c r="A1073" s="74"/>
      <c r="B1073" s="74" t="s">
        <v>863</v>
      </c>
      <c r="C1073" s="74">
        <v>48</v>
      </c>
      <c r="D1073" s="76">
        <v>5.3</v>
      </c>
      <c r="E1073" s="76"/>
      <c r="F1073" s="77"/>
      <c r="G1073" s="78"/>
      <c r="H1073" s="74"/>
    </row>
    <row r="1074" spans="1:8" x14ac:dyDescent="0.2">
      <c r="A1074" s="74"/>
      <c r="B1074" s="74" t="s">
        <v>861</v>
      </c>
      <c r="C1074" s="74">
        <v>48</v>
      </c>
      <c r="D1074" s="76">
        <v>5.3</v>
      </c>
      <c r="E1074" s="76"/>
      <c r="F1074" s="77"/>
      <c r="G1074" s="78"/>
      <c r="H1074" s="74"/>
    </row>
    <row r="1075" spans="1:8" x14ac:dyDescent="0.2">
      <c r="A1075" s="74"/>
      <c r="B1075" s="74" t="s">
        <v>860</v>
      </c>
      <c r="C1075" s="74">
        <v>40</v>
      </c>
      <c r="D1075" s="76">
        <v>2.63</v>
      </c>
      <c r="E1075" s="76"/>
      <c r="F1075" s="77"/>
      <c r="G1075" s="78"/>
      <c r="H1075" s="74"/>
    </row>
    <row r="1076" spans="1:8" x14ac:dyDescent="0.2">
      <c r="A1076" s="74"/>
      <c r="B1076" s="74" t="s">
        <v>864</v>
      </c>
      <c r="C1076" s="74">
        <v>48</v>
      </c>
      <c r="D1076" s="76">
        <v>5.3</v>
      </c>
      <c r="E1076" s="76"/>
      <c r="F1076" s="77"/>
      <c r="G1076" s="78"/>
      <c r="H1076" s="74"/>
    </row>
    <row r="1077" spans="1:8" x14ac:dyDescent="0.2">
      <c r="A1077" s="74"/>
      <c r="B1077" s="75" t="s">
        <v>992</v>
      </c>
      <c r="C1077" s="74"/>
      <c r="D1077" s="76">
        <v>7.11</v>
      </c>
      <c r="E1077" s="76">
        <v>4.9800000000000004</v>
      </c>
      <c r="F1077" s="77"/>
      <c r="G1077" s="78"/>
      <c r="H1077" s="74"/>
    </row>
    <row r="1078" spans="1:8" x14ac:dyDescent="0.2">
      <c r="A1078" s="74"/>
      <c r="B1078" s="75" t="s">
        <v>993</v>
      </c>
      <c r="C1078" s="74"/>
      <c r="D1078" s="76">
        <v>7.11</v>
      </c>
      <c r="E1078" s="76">
        <v>4.9800000000000004</v>
      </c>
      <c r="F1078" s="77"/>
      <c r="G1078" s="78"/>
      <c r="H1078" s="74"/>
    </row>
    <row r="1079" spans="1:8" x14ac:dyDescent="0.2">
      <c r="A1079" s="74"/>
      <c r="B1079" s="74" t="s">
        <v>998</v>
      </c>
      <c r="C1079" s="74"/>
      <c r="D1079" s="76">
        <v>1.38</v>
      </c>
      <c r="E1079" s="76">
        <v>1.04</v>
      </c>
      <c r="F1079" s="77"/>
      <c r="G1079" s="78"/>
      <c r="H1079" s="74"/>
    </row>
    <row r="1080" spans="1:8" x14ac:dyDescent="0.2">
      <c r="A1080" s="74"/>
      <c r="B1080" s="74" t="s">
        <v>997</v>
      </c>
      <c r="C1080" s="74"/>
      <c r="D1080" s="76">
        <v>2.5299999999999998</v>
      </c>
      <c r="E1080" s="76">
        <v>1.9</v>
      </c>
      <c r="F1080" s="77"/>
      <c r="G1080" s="78"/>
      <c r="H1080" s="74"/>
    </row>
    <row r="1081" spans="1:8" x14ac:dyDescent="0.2">
      <c r="A1081" s="74"/>
      <c r="B1081" s="74" t="s">
        <v>1001</v>
      </c>
      <c r="C1081" s="74"/>
      <c r="D1081" s="76">
        <v>2.34</v>
      </c>
      <c r="E1081" s="76">
        <v>1.76</v>
      </c>
      <c r="F1081" s="77"/>
      <c r="G1081" s="78"/>
      <c r="H1081" s="74"/>
    </row>
    <row r="1082" spans="1:8" x14ac:dyDescent="0.2">
      <c r="A1082" s="74"/>
      <c r="B1082" s="74" t="s">
        <v>996</v>
      </c>
      <c r="C1082" s="74"/>
      <c r="D1082" s="76">
        <v>28.58</v>
      </c>
      <c r="E1082" s="76">
        <v>20.010000000000002</v>
      </c>
      <c r="F1082" s="77"/>
      <c r="G1082" s="78"/>
      <c r="H1082" s="74"/>
    </row>
    <row r="1083" spans="1:8" x14ac:dyDescent="0.2">
      <c r="A1083" s="74"/>
      <c r="B1083" s="74" t="s">
        <v>1048</v>
      </c>
      <c r="C1083" s="74">
        <v>8</v>
      </c>
      <c r="D1083" s="76">
        <v>24.19</v>
      </c>
      <c r="E1083" s="76">
        <v>16.93</v>
      </c>
      <c r="F1083" s="77"/>
      <c r="G1083" s="78"/>
      <c r="H1083" s="74"/>
    </row>
    <row r="1084" spans="1:8" x14ac:dyDescent="0.2">
      <c r="A1084" s="74"/>
      <c r="B1084" s="74" t="s">
        <v>1045</v>
      </c>
      <c r="C1084" s="74">
        <v>8</v>
      </c>
      <c r="D1084" s="76">
        <v>22.61</v>
      </c>
      <c r="E1084" s="76">
        <v>15.83</v>
      </c>
      <c r="F1084" s="77"/>
      <c r="G1084" s="78"/>
      <c r="H1084" s="74"/>
    </row>
    <row r="1085" spans="1:8" x14ac:dyDescent="0.2">
      <c r="A1085" s="74"/>
      <c r="B1085" s="75" t="s">
        <v>985</v>
      </c>
      <c r="C1085" s="74"/>
      <c r="D1085" s="76">
        <v>7.42</v>
      </c>
      <c r="E1085" s="76">
        <v>5.75</v>
      </c>
      <c r="F1085" s="77"/>
      <c r="G1085" s="78"/>
      <c r="H1085" s="74"/>
    </row>
    <row r="1086" spans="1:8" x14ac:dyDescent="0.2">
      <c r="A1086" s="74"/>
      <c r="B1086" s="74" t="s">
        <v>868</v>
      </c>
      <c r="C1086" s="74">
        <v>12</v>
      </c>
      <c r="D1086" s="76">
        <v>18.760000000000002</v>
      </c>
      <c r="E1086" s="76"/>
      <c r="F1086" s="77"/>
      <c r="G1086" s="78"/>
      <c r="H1086" s="74"/>
    </row>
    <row r="1087" spans="1:8" x14ac:dyDescent="0.2">
      <c r="A1087" s="74"/>
      <c r="B1087" s="74" t="s">
        <v>867</v>
      </c>
      <c r="C1087" s="74">
        <v>12</v>
      </c>
      <c r="D1087" s="76">
        <v>18.760000000000002</v>
      </c>
      <c r="E1087" s="76"/>
      <c r="F1087" s="77"/>
      <c r="G1087" s="78"/>
      <c r="H1087" s="74"/>
    </row>
    <row r="1088" spans="1:8" x14ac:dyDescent="0.2">
      <c r="A1088" s="74"/>
      <c r="B1088" s="74" t="s">
        <v>872</v>
      </c>
      <c r="C1088" s="74">
        <v>12</v>
      </c>
      <c r="D1088" s="76">
        <v>16.079999999999998</v>
      </c>
      <c r="E1088" s="76"/>
      <c r="F1088" s="77"/>
      <c r="G1088" s="78"/>
      <c r="H1088" s="74"/>
    </row>
    <row r="1089" spans="1:8" x14ac:dyDescent="0.2">
      <c r="A1089" s="74"/>
      <c r="B1089" s="74" t="s">
        <v>1054</v>
      </c>
      <c r="C1089" s="74"/>
      <c r="D1089" s="76">
        <v>0.88</v>
      </c>
      <c r="E1089" s="76">
        <v>0.66</v>
      </c>
      <c r="F1089" s="77"/>
      <c r="G1089" s="78"/>
      <c r="H1089" s="74"/>
    </row>
    <row r="1090" spans="1:8" x14ac:dyDescent="0.2">
      <c r="A1090" s="74"/>
      <c r="B1090" s="74" t="s">
        <v>871</v>
      </c>
      <c r="C1090" s="74">
        <v>12</v>
      </c>
      <c r="D1090" s="76">
        <v>16.079999999999998</v>
      </c>
      <c r="E1090" s="76"/>
      <c r="F1090" s="77"/>
      <c r="G1090" s="78"/>
      <c r="H1090" s="74"/>
    </row>
    <row r="1091" spans="1:8" x14ac:dyDescent="0.2">
      <c r="A1091" s="74"/>
      <c r="B1091" s="74" t="s">
        <v>870</v>
      </c>
      <c r="C1091" s="74">
        <v>12</v>
      </c>
      <c r="D1091" s="76">
        <v>16.079999999999998</v>
      </c>
      <c r="E1091" s="76"/>
      <c r="F1091" s="77"/>
      <c r="G1091" s="78"/>
      <c r="H1091" s="74"/>
    </row>
    <row r="1092" spans="1:8" x14ac:dyDescent="0.2">
      <c r="A1092" s="74"/>
      <c r="B1092" s="74" t="s">
        <v>880</v>
      </c>
      <c r="C1092" s="74">
        <v>60</v>
      </c>
      <c r="D1092" s="76">
        <v>3.07</v>
      </c>
      <c r="E1092" s="76"/>
      <c r="F1092" s="77"/>
      <c r="G1092" s="78"/>
      <c r="H1092" s="74"/>
    </row>
    <row r="1093" spans="1:8" x14ac:dyDescent="0.2">
      <c r="A1093" s="74"/>
      <c r="B1093" s="74" t="s">
        <v>900</v>
      </c>
      <c r="C1093" s="74">
        <v>8</v>
      </c>
      <c r="D1093" s="76">
        <v>22.62</v>
      </c>
      <c r="E1093" s="76"/>
      <c r="F1093" s="77"/>
      <c r="G1093" s="78"/>
      <c r="H1093" s="74"/>
    </row>
    <row r="1094" spans="1:8" x14ac:dyDescent="0.2">
      <c r="A1094" s="74"/>
      <c r="B1094" s="74" t="s">
        <v>899</v>
      </c>
      <c r="C1094" s="74">
        <v>8</v>
      </c>
      <c r="D1094" s="76">
        <v>22.62</v>
      </c>
      <c r="E1094" s="76">
        <v>15.83</v>
      </c>
      <c r="F1094" s="77"/>
      <c r="G1094" s="78"/>
      <c r="H1094" s="74"/>
    </row>
    <row r="1095" spans="1:8" x14ac:dyDescent="0.2">
      <c r="A1095" s="74"/>
      <c r="B1095" s="74" t="s">
        <v>1004</v>
      </c>
      <c r="C1095" s="74">
        <v>36</v>
      </c>
      <c r="D1095" s="76">
        <v>4.24</v>
      </c>
      <c r="E1095" s="76"/>
      <c r="F1095" s="77"/>
      <c r="G1095" s="78"/>
      <c r="H1095" s="74"/>
    </row>
    <row r="1096" spans="1:8" x14ac:dyDescent="0.2">
      <c r="A1096" s="74"/>
      <c r="B1096" s="74" t="s">
        <v>866</v>
      </c>
      <c r="C1096" s="74">
        <v>36</v>
      </c>
      <c r="D1096" s="76">
        <v>4.24</v>
      </c>
      <c r="E1096" s="76"/>
      <c r="F1096" s="77"/>
      <c r="G1096" s="78"/>
      <c r="H1096" s="74"/>
    </row>
    <row r="1097" spans="1:8" x14ac:dyDescent="0.2">
      <c r="A1097" s="74"/>
      <c r="B1097" s="74" t="s">
        <v>882</v>
      </c>
      <c r="C1097" s="74">
        <v>8</v>
      </c>
      <c r="D1097" s="76">
        <v>14.08</v>
      </c>
      <c r="E1097" s="76"/>
      <c r="F1097" s="77"/>
      <c r="G1097" s="78"/>
      <c r="H1097" s="74"/>
    </row>
    <row r="1098" spans="1:8" x14ac:dyDescent="0.2">
      <c r="A1098" s="74"/>
      <c r="B1098" s="74" t="s">
        <v>1047</v>
      </c>
      <c r="C1098" s="74">
        <v>40</v>
      </c>
      <c r="D1098" s="76">
        <v>30.56</v>
      </c>
      <c r="E1098" s="76">
        <v>21.41</v>
      </c>
      <c r="F1098" s="77"/>
      <c r="G1098" s="78"/>
      <c r="H1098" s="74"/>
    </row>
    <row r="1099" spans="1:8" x14ac:dyDescent="0.2">
      <c r="A1099" s="74"/>
      <c r="B1099" s="74" t="s">
        <v>1002</v>
      </c>
      <c r="C1099" s="74"/>
      <c r="D1099" s="76">
        <v>2.63</v>
      </c>
      <c r="E1099" s="76">
        <v>1.97</v>
      </c>
      <c r="F1099" s="77"/>
      <c r="G1099" s="78"/>
      <c r="H1099" s="74"/>
    </row>
    <row r="1100" spans="1:8" x14ac:dyDescent="0.2">
      <c r="A1100" s="74"/>
      <c r="B1100" s="74" t="s">
        <v>1046</v>
      </c>
      <c r="C1100" s="74">
        <v>24</v>
      </c>
      <c r="D1100" s="76">
        <v>26.59</v>
      </c>
      <c r="E1100" s="76">
        <v>18.61</v>
      </c>
      <c r="F1100" s="77"/>
      <c r="G1100" s="78"/>
      <c r="H1100" s="74"/>
    </row>
    <row r="1101" spans="1:8" x14ac:dyDescent="0.2">
      <c r="A1101" s="74"/>
      <c r="B1101" s="74" t="s">
        <v>884</v>
      </c>
      <c r="C1101" s="74">
        <v>8</v>
      </c>
      <c r="D1101" s="76">
        <v>14.08</v>
      </c>
      <c r="E1101" s="76"/>
      <c r="F1101" s="77"/>
      <c r="G1101" s="78"/>
      <c r="H1101" s="74"/>
    </row>
    <row r="1102" spans="1:8" x14ac:dyDescent="0.2">
      <c r="A1102" s="74"/>
      <c r="B1102" s="74" t="s">
        <v>1053</v>
      </c>
      <c r="C1102" s="74">
        <v>8</v>
      </c>
      <c r="D1102" s="76">
        <v>15.07</v>
      </c>
      <c r="E1102" s="76">
        <v>10.55</v>
      </c>
      <c r="F1102" s="77"/>
      <c r="G1102" s="78"/>
      <c r="H1102" s="74"/>
    </row>
    <row r="1103" spans="1:8" x14ac:dyDescent="0.2">
      <c r="A1103" s="74"/>
      <c r="B1103" s="74" t="s">
        <v>883</v>
      </c>
      <c r="C1103" s="74">
        <v>8</v>
      </c>
      <c r="D1103" s="76">
        <v>14.08</v>
      </c>
      <c r="E1103" s="76"/>
      <c r="F1103" s="77"/>
      <c r="G1103" s="78"/>
      <c r="H1103" s="74"/>
    </row>
    <row r="1104" spans="1:8" x14ac:dyDescent="0.2">
      <c r="A1104" s="74"/>
      <c r="B1104" s="74" t="s">
        <v>885</v>
      </c>
      <c r="C1104" s="74">
        <v>8</v>
      </c>
      <c r="D1104" s="76">
        <v>14.08</v>
      </c>
      <c r="E1104" s="76"/>
      <c r="F1104" s="77"/>
      <c r="G1104" s="78"/>
      <c r="H1104" s="74"/>
    </row>
    <row r="1105" spans="1:8" x14ac:dyDescent="0.2">
      <c r="A1105" s="74"/>
      <c r="B1105" s="75" t="s">
        <v>986</v>
      </c>
      <c r="C1105" s="74"/>
      <c r="D1105" s="76">
        <v>68.8</v>
      </c>
      <c r="E1105" s="76">
        <v>48.16</v>
      </c>
      <c r="F1105" s="77"/>
      <c r="G1105" s="78"/>
      <c r="H1105" s="74"/>
    </row>
    <row r="1106" spans="1:8" x14ac:dyDescent="0.2">
      <c r="A1106" s="74"/>
      <c r="B1106" s="74" t="s">
        <v>902</v>
      </c>
      <c r="C1106" s="74">
        <v>6</v>
      </c>
      <c r="D1106" s="76">
        <v>16.170000000000002</v>
      </c>
      <c r="E1106" s="76">
        <v>11.32</v>
      </c>
      <c r="F1106" s="77"/>
      <c r="G1106" s="78"/>
      <c r="H1106" s="74"/>
    </row>
    <row r="1107" spans="1:8" x14ac:dyDescent="0.2">
      <c r="A1107" s="74"/>
      <c r="B1107" s="75" t="s">
        <v>988</v>
      </c>
      <c r="C1107" s="74"/>
      <c r="D1107" s="76">
        <v>39.69</v>
      </c>
      <c r="E1107" s="76">
        <v>27.78</v>
      </c>
      <c r="F1107" s="77"/>
      <c r="G1107" s="78"/>
      <c r="H1107" s="74"/>
    </row>
    <row r="1108" spans="1:8" x14ac:dyDescent="0.2">
      <c r="A1108" s="74"/>
      <c r="B1108" s="75" t="s">
        <v>989</v>
      </c>
      <c r="C1108" s="74"/>
      <c r="D1108" s="76">
        <v>39.69</v>
      </c>
      <c r="E1108" s="76">
        <v>27.78</v>
      </c>
      <c r="F1108" s="77"/>
      <c r="G1108" s="78"/>
      <c r="H1108" s="74"/>
    </row>
    <row r="1109" spans="1:8" x14ac:dyDescent="0.2">
      <c r="A1109" s="74"/>
      <c r="B1109" s="75" t="s">
        <v>991</v>
      </c>
      <c r="C1109" s="74"/>
      <c r="D1109" s="76">
        <v>39.69</v>
      </c>
      <c r="E1109" s="76">
        <v>27.78</v>
      </c>
      <c r="F1109" s="77"/>
      <c r="G1109" s="78"/>
      <c r="H1109" s="74"/>
    </row>
    <row r="1110" spans="1:8" x14ac:dyDescent="0.2">
      <c r="A1110" s="74"/>
      <c r="B1110" s="75" t="s">
        <v>990</v>
      </c>
      <c r="C1110" s="74"/>
      <c r="D1110" s="76">
        <v>39.69</v>
      </c>
      <c r="E1110" s="76">
        <v>27.78</v>
      </c>
      <c r="F1110" s="77"/>
      <c r="G1110" s="78"/>
      <c r="H1110" s="74"/>
    </row>
    <row r="1111" spans="1:8" x14ac:dyDescent="0.2">
      <c r="A1111" s="74"/>
      <c r="B1111" s="75" t="s">
        <v>994</v>
      </c>
      <c r="C1111" s="74"/>
      <c r="D1111" s="76">
        <v>14.93</v>
      </c>
      <c r="E1111" s="76">
        <v>10.24</v>
      </c>
      <c r="F1111" s="95"/>
      <c r="G1111" s="78"/>
      <c r="H1111" s="74"/>
    </row>
    <row r="1112" spans="1:8" x14ac:dyDescent="0.2">
      <c r="A1112" s="74"/>
      <c r="B1112" s="74" t="s">
        <v>901</v>
      </c>
      <c r="C1112" s="74">
        <v>8</v>
      </c>
      <c r="D1112" s="76">
        <v>12.93</v>
      </c>
      <c r="E1112" s="76">
        <v>9.0500000000000007</v>
      </c>
      <c r="F1112" s="77"/>
      <c r="G1112" s="78"/>
      <c r="H1112" s="74"/>
    </row>
    <row r="1113" spans="1:8" x14ac:dyDescent="0.2">
      <c r="A1113" s="74"/>
      <c r="B1113" s="74" t="s">
        <v>881</v>
      </c>
      <c r="C1113" s="74">
        <v>42</v>
      </c>
      <c r="D1113" s="76">
        <v>5.51</v>
      </c>
      <c r="E1113" s="76"/>
      <c r="F1113" s="77"/>
      <c r="G1113" s="78"/>
      <c r="H1113" s="74"/>
    </row>
    <row r="1114" spans="1:8" x14ac:dyDescent="0.2">
      <c r="A1114" s="74"/>
      <c r="B1114" s="75" t="s">
        <v>982</v>
      </c>
      <c r="C1114" s="74">
        <v>7</v>
      </c>
      <c r="D1114" s="76">
        <v>34.07</v>
      </c>
      <c r="E1114" s="76">
        <v>23.85</v>
      </c>
      <c r="F1114" s="77"/>
      <c r="G1114" s="78"/>
      <c r="H1114" s="74"/>
    </row>
    <row r="1115" spans="1:8" x14ac:dyDescent="0.2">
      <c r="A1115" s="74"/>
      <c r="B1115" s="74" t="s">
        <v>1000</v>
      </c>
      <c r="C1115" s="74"/>
      <c r="D1115" s="76">
        <v>1.81</v>
      </c>
      <c r="E1115" s="76">
        <v>1.36</v>
      </c>
      <c r="F1115" s="77"/>
      <c r="G1115" s="78"/>
      <c r="H1115" s="74"/>
    </row>
    <row r="1116" spans="1:8" x14ac:dyDescent="0.2">
      <c r="A1116" s="74"/>
      <c r="B1116" s="74" t="s">
        <v>999</v>
      </c>
      <c r="C1116" s="74"/>
      <c r="D1116" s="76">
        <v>1.67</v>
      </c>
      <c r="E1116" s="76">
        <v>1.25</v>
      </c>
      <c r="F1116" s="77"/>
      <c r="G1116" s="78"/>
      <c r="H1116" s="74"/>
    </row>
    <row r="1117" spans="1:8" x14ac:dyDescent="0.2">
      <c r="A1117" s="74"/>
      <c r="B1117" s="74" t="s">
        <v>898</v>
      </c>
      <c r="C1117" s="74">
        <v>8</v>
      </c>
      <c r="D1117" s="76">
        <v>22.62</v>
      </c>
      <c r="E1117" s="76"/>
      <c r="F1117" s="77"/>
      <c r="G1117" s="78"/>
      <c r="H1117" s="74"/>
    </row>
    <row r="1118" spans="1:8" x14ac:dyDescent="0.2">
      <c r="A1118" s="74"/>
      <c r="B1118" s="74" t="s">
        <v>888</v>
      </c>
      <c r="C1118" s="74">
        <v>6</v>
      </c>
      <c r="D1118" s="76">
        <v>41.29</v>
      </c>
      <c r="E1118" s="76"/>
      <c r="F1118" s="77"/>
      <c r="G1118" s="78"/>
      <c r="H1118" s="74"/>
    </row>
    <row r="1119" spans="1:8" x14ac:dyDescent="0.2">
      <c r="A1119" s="74"/>
      <c r="B1119" s="74" t="s">
        <v>890</v>
      </c>
      <c r="C1119" s="74">
        <v>6</v>
      </c>
      <c r="D1119" s="76">
        <v>44.19</v>
      </c>
      <c r="E1119" s="96">
        <v>30.93</v>
      </c>
      <c r="F1119" s="77"/>
      <c r="G1119" s="78"/>
      <c r="H1119" s="74"/>
    </row>
    <row r="1120" spans="1:8" x14ac:dyDescent="0.2">
      <c r="A1120" s="74"/>
      <c r="B1120" s="74" t="s">
        <v>1050</v>
      </c>
      <c r="C1120" s="74">
        <v>12</v>
      </c>
      <c r="D1120" s="76">
        <v>44.19</v>
      </c>
      <c r="E1120" s="96">
        <v>30.93</v>
      </c>
      <c r="F1120" s="77"/>
      <c r="G1120" s="78"/>
      <c r="H1120" s="74"/>
    </row>
    <row r="1121" spans="1:8" x14ac:dyDescent="0.2">
      <c r="A1121" s="74"/>
      <c r="B1121" s="74" t="s">
        <v>1051</v>
      </c>
      <c r="C1121" s="74">
        <v>18</v>
      </c>
      <c r="D1121" s="76">
        <v>44.19</v>
      </c>
      <c r="E1121" s="96">
        <v>30.93</v>
      </c>
      <c r="F1121" s="77"/>
      <c r="G1121" s="78"/>
      <c r="H1121" s="74"/>
    </row>
    <row r="1122" spans="1:8" x14ac:dyDescent="0.2">
      <c r="A1122" s="74"/>
      <c r="B1122" s="74" t="s">
        <v>892</v>
      </c>
      <c r="C1122" s="74"/>
      <c r="D1122" s="76">
        <v>44.19</v>
      </c>
      <c r="E1122" s="96">
        <v>30.93</v>
      </c>
      <c r="F1122" s="77"/>
      <c r="G1122" s="78"/>
      <c r="H1122" s="74"/>
    </row>
    <row r="1123" spans="1:8" x14ac:dyDescent="0.2">
      <c r="A1123" s="74"/>
      <c r="B1123" s="74" t="s">
        <v>889</v>
      </c>
      <c r="C1123" s="74">
        <v>6</v>
      </c>
      <c r="D1123" s="76">
        <v>41.3</v>
      </c>
      <c r="E1123" s="76">
        <v>28.91</v>
      </c>
      <c r="F1123" s="77"/>
      <c r="G1123" s="78"/>
      <c r="H1123" s="74"/>
    </row>
    <row r="1124" spans="1:8" x14ac:dyDescent="0.2">
      <c r="A1124" s="74"/>
      <c r="B1124" s="74" t="s">
        <v>891</v>
      </c>
      <c r="C1124" s="74">
        <v>6</v>
      </c>
      <c r="D1124" s="76">
        <v>41.29</v>
      </c>
      <c r="E1124" s="76"/>
      <c r="F1124" s="77"/>
      <c r="G1124" s="78"/>
      <c r="H1124" s="74"/>
    </row>
    <row r="1125" spans="1:8" x14ac:dyDescent="0.2">
      <c r="A1125" s="74"/>
      <c r="B1125" s="74" t="s">
        <v>877</v>
      </c>
      <c r="C1125" s="74"/>
      <c r="D1125" s="76">
        <v>3.28</v>
      </c>
      <c r="E1125" s="76">
        <v>2.2999999999999998</v>
      </c>
      <c r="F1125" s="77"/>
      <c r="G1125" s="78"/>
      <c r="H1125" s="74"/>
    </row>
    <row r="1126" spans="1:8" x14ac:dyDescent="0.2">
      <c r="A1126" s="74"/>
      <c r="B1126" s="74" t="s">
        <v>897</v>
      </c>
      <c r="C1126" s="74">
        <v>8</v>
      </c>
      <c r="D1126" s="76">
        <v>22.61</v>
      </c>
      <c r="E1126" s="76">
        <v>15.83</v>
      </c>
      <c r="F1126" s="77"/>
      <c r="G1126" s="78"/>
      <c r="H1126" s="74"/>
    </row>
    <row r="1127" spans="1:8" x14ac:dyDescent="0.2">
      <c r="A1127" s="74"/>
      <c r="B1127" s="74" t="s">
        <v>1049</v>
      </c>
      <c r="C1127" s="74"/>
      <c r="D1127" s="76">
        <v>22.61</v>
      </c>
      <c r="E1127" s="76">
        <v>15.83</v>
      </c>
      <c r="F1127" s="77"/>
      <c r="G1127" s="78"/>
      <c r="H1127" s="74"/>
    </row>
    <row r="1128" spans="1:8" x14ac:dyDescent="0.2">
      <c r="A1128" s="74"/>
      <c r="B1128" s="74" t="s">
        <v>875</v>
      </c>
      <c r="C1128" s="74">
        <v>50</v>
      </c>
      <c r="D1128" s="76">
        <v>3.07</v>
      </c>
      <c r="E1128" s="76"/>
      <c r="F1128" s="77"/>
      <c r="G1128" s="78"/>
      <c r="H1128" s="74"/>
    </row>
    <row r="1129" spans="1:8" x14ac:dyDescent="0.2">
      <c r="A1129" s="74"/>
      <c r="B1129" s="74" t="s">
        <v>66</v>
      </c>
      <c r="C1129" s="74">
        <v>8</v>
      </c>
      <c r="D1129" s="76">
        <v>19.45</v>
      </c>
      <c r="E1129" s="76">
        <v>13.62</v>
      </c>
      <c r="F1129" s="77"/>
      <c r="G1129" s="78"/>
      <c r="H1129" s="74"/>
    </row>
    <row r="1130" spans="1:8" x14ac:dyDescent="0.2">
      <c r="A1130" s="74"/>
      <c r="B1130" s="74" t="s">
        <v>876</v>
      </c>
      <c r="C1130" s="74">
        <v>50</v>
      </c>
      <c r="D1130" s="76">
        <v>3.07</v>
      </c>
      <c r="E1130" s="76"/>
      <c r="F1130" s="77"/>
      <c r="G1130" s="78"/>
      <c r="H1130" s="74"/>
    </row>
    <row r="1131" spans="1:8" x14ac:dyDescent="0.2">
      <c r="A1131" s="74"/>
      <c r="B1131" s="74" t="s">
        <v>903</v>
      </c>
      <c r="C1131" s="74">
        <v>12</v>
      </c>
      <c r="D1131" s="76">
        <v>16.62</v>
      </c>
      <c r="E1131" s="76">
        <v>11.63</v>
      </c>
      <c r="F1131" s="77"/>
      <c r="G1131" s="78"/>
      <c r="H1131" s="74"/>
    </row>
    <row r="1132" spans="1:8" x14ac:dyDescent="0.2">
      <c r="A1132" s="74"/>
      <c r="B1132" s="74" t="s">
        <v>904</v>
      </c>
      <c r="C1132" s="74">
        <v>12</v>
      </c>
      <c r="D1132" s="76">
        <v>15.53</v>
      </c>
      <c r="E1132" s="76"/>
      <c r="F1132" s="77"/>
      <c r="G1132" s="78"/>
      <c r="H1132" s="74"/>
    </row>
    <row r="1133" spans="1:8" x14ac:dyDescent="0.2">
      <c r="A1133" s="74"/>
      <c r="B1133" s="75" t="s">
        <v>987</v>
      </c>
      <c r="C1133" s="74"/>
      <c r="D1133" s="76">
        <v>22.61</v>
      </c>
      <c r="E1133" s="76">
        <v>15.83</v>
      </c>
      <c r="F1133" s="77"/>
      <c r="G1133" s="78"/>
      <c r="H1133" s="74"/>
    </row>
    <row r="1134" spans="1:8" x14ac:dyDescent="0.2">
      <c r="A1134" s="74"/>
      <c r="B1134" s="75" t="s">
        <v>1052</v>
      </c>
      <c r="C1134" s="74">
        <v>8</v>
      </c>
      <c r="D1134" s="76">
        <v>25.04</v>
      </c>
      <c r="E1134" s="76">
        <v>17.53</v>
      </c>
      <c r="F1134" s="77"/>
      <c r="G1134" s="78"/>
      <c r="H1134" s="74"/>
    </row>
    <row r="1135" spans="1:8" x14ac:dyDescent="0.2">
      <c r="A1135" s="74"/>
      <c r="B1135" s="74" t="s">
        <v>895</v>
      </c>
      <c r="C1135" s="74">
        <v>8</v>
      </c>
      <c r="D1135" s="76">
        <v>24.19</v>
      </c>
      <c r="E1135" s="76">
        <v>16.93</v>
      </c>
      <c r="F1135" s="77"/>
      <c r="G1135" s="78"/>
      <c r="H1135" s="74"/>
    </row>
    <row r="1136" spans="1:8" x14ac:dyDescent="0.2">
      <c r="A1136" s="74"/>
      <c r="B1136" s="74" t="s">
        <v>886</v>
      </c>
      <c r="C1136" s="74">
        <v>16</v>
      </c>
      <c r="D1136" s="76">
        <v>7.11</v>
      </c>
      <c r="E1136" s="76"/>
      <c r="F1136" s="77"/>
      <c r="G1136" s="78"/>
      <c r="H1136" s="74"/>
    </row>
    <row r="1137" spans="1:8" x14ac:dyDescent="0.2">
      <c r="A1137" s="74"/>
      <c r="B1137" s="74" t="s">
        <v>887</v>
      </c>
      <c r="C1137" s="74">
        <v>16</v>
      </c>
      <c r="D1137" s="76">
        <v>7.11</v>
      </c>
      <c r="E1137" s="76"/>
      <c r="F1137" s="77"/>
      <c r="G1137" s="78"/>
      <c r="H1137" s="74"/>
    </row>
    <row r="1138" spans="1:8" x14ac:dyDescent="0.2">
      <c r="A1138" s="74"/>
      <c r="B1138" s="74" t="s">
        <v>874</v>
      </c>
      <c r="C1138" s="74">
        <v>10</v>
      </c>
      <c r="D1138" s="76">
        <v>17.71</v>
      </c>
      <c r="E1138" s="76"/>
      <c r="F1138" s="77"/>
      <c r="G1138" s="78"/>
      <c r="H1138" s="74"/>
    </row>
    <row r="1139" spans="1:8" x14ac:dyDescent="0.2">
      <c r="A1139" s="74"/>
      <c r="B1139" s="74"/>
      <c r="C1139" s="74"/>
      <c r="D1139" s="76"/>
      <c r="E1139" s="76"/>
      <c r="F1139" s="77"/>
      <c r="G1139" s="78"/>
      <c r="H1139" s="74"/>
    </row>
    <row r="1140" spans="1:8" x14ac:dyDescent="0.2">
      <c r="A1140" s="76" t="s">
        <v>1005</v>
      </c>
      <c r="B1140" s="76"/>
      <c r="C1140" s="76"/>
      <c r="D1140" s="76"/>
      <c r="E1140" s="76"/>
      <c r="F1140" s="76"/>
      <c r="G1140" s="76"/>
      <c r="H1140" s="76"/>
    </row>
    <row r="1141" spans="1:8" x14ac:dyDescent="0.2">
      <c r="A1141" s="76"/>
      <c r="B1141" s="76"/>
      <c r="C1141" s="76"/>
      <c r="D1141" s="76"/>
      <c r="E1141" s="76"/>
      <c r="F1141" s="76"/>
      <c r="G1141" s="76"/>
      <c r="H1141" s="76"/>
    </row>
    <row r="1142" spans="1:8" x14ac:dyDescent="0.2">
      <c r="A1142" s="76" t="s">
        <v>0</v>
      </c>
      <c r="B1142" s="76" t="s">
        <v>1</v>
      </c>
      <c r="C1142" s="76" t="s">
        <v>19</v>
      </c>
      <c r="D1142" s="76" t="s">
        <v>424</v>
      </c>
      <c r="E1142" s="76" t="s">
        <v>113</v>
      </c>
      <c r="F1142" s="76"/>
      <c r="G1142" s="76"/>
      <c r="H1142" s="76"/>
    </row>
    <row r="1143" spans="1:8" x14ac:dyDescent="0.2">
      <c r="A1143" s="76"/>
      <c r="B1143" s="76" t="s">
        <v>1006</v>
      </c>
      <c r="C1143" s="76"/>
      <c r="D1143" s="76">
        <v>40</v>
      </c>
      <c r="E1143" s="76"/>
      <c r="F1143" s="76"/>
      <c r="G1143" s="76"/>
      <c r="H1143" s="76"/>
    </row>
    <row r="1144" spans="1:8" x14ac:dyDescent="0.2">
      <c r="A1144" s="76"/>
      <c r="B1144" s="76" t="s">
        <v>1007</v>
      </c>
      <c r="C1144" s="76"/>
      <c r="D1144" s="76">
        <v>40</v>
      </c>
      <c r="E1144" s="76"/>
      <c r="F1144" s="76"/>
      <c r="G1144" s="76"/>
      <c r="H1144" s="76"/>
    </row>
    <row r="1145" spans="1:8" x14ac:dyDescent="0.2">
      <c r="A1145" s="76"/>
      <c r="B1145" s="76" t="s">
        <v>1008</v>
      </c>
      <c r="C1145" s="76"/>
      <c r="D1145" s="76">
        <v>40</v>
      </c>
      <c r="E1145" s="76"/>
      <c r="F1145" s="76"/>
      <c r="G1145" s="76"/>
      <c r="H1145" s="76"/>
    </row>
    <row r="1146" spans="1:8" x14ac:dyDescent="0.2">
      <c r="A1146" s="76"/>
      <c r="B1146" s="76"/>
      <c r="C1146" s="76"/>
      <c r="D1146" s="76"/>
      <c r="E1146" s="76"/>
      <c r="F1146" s="76"/>
      <c r="G1146" s="76"/>
      <c r="H1146" s="76"/>
    </row>
    <row r="1147" spans="1:8" x14ac:dyDescent="0.2">
      <c r="A1147" s="76"/>
      <c r="B1147" s="76"/>
      <c r="C1147" s="76"/>
      <c r="D1147" s="76"/>
      <c r="E1147" s="76"/>
      <c r="F1147" s="76"/>
      <c r="G1147" s="76"/>
      <c r="H1147" s="76"/>
    </row>
    <row r="1148" spans="1:8" x14ac:dyDescent="0.2">
      <c r="A1148" s="76"/>
      <c r="B1148" s="76"/>
      <c r="C1148" s="76"/>
      <c r="D1148" s="76"/>
      <c r="E1148" s="76"/>
      <c r="F1148" s="76"/>
      <c r="G1148" s="76"/>
      <c r="H1148" s="76"/>
    </row>
    <row r="1149" spans="1:8" x14ac:dyDescent="0.2">
      <c r="A1149" s="76"/>
      <c r="B1149" s="76"/>
      <c r="C1149" s="76"/>
      <c r="D1149" s="76"/>
      <c r="E1149" s="76"/>
      <c r="F1149" s="76"/>
      <c r="G1149" s="76"/>
      <c r="H1149" s="76"/>
    </row>
  </sheetData>
  <phoneticPr fontId="2" type="noConversion"/>
  <printOptions gridLines="1"/>
  <pageMargins left="0.19" right="0.24" top="0.49" bottom="0.48" header="0.25" footer="0.22"/>
  <pageSetup paperSize="9" scale="98" orientation="portrait" r:id="rId1"/>
  <headerFooter alignWithMargins="0">
    <oddHeader>&amp;L&amp;D&amp;C&amp;"Arial,מודגש"&amp;12&amp;U&amp;F</oddHeader>
    <oddFooter>עמוד &amp;P מתוך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D73D-7AD5-4998-AF22-249B58B3E8D0}">
  <dimension ref="A1:M44"/>
  <sheetViews>
    <sheetView rightToLeft="1" zoomScale="110" zoomScaleNormal="110" workbookViewId="0">
      <selection activeCell="B17" sqref="B17"/>
    </sheetView>
  </sheetViews>
  <sheetFormatPr defaultRowHeight="12.75" x14ac:dyDescent="0.2"/>
  <cols>
    <col min="1" max="1" width="20.85546875" bestFit="1" customWidth="1"/>
    <col min="2" max="2" width="6.7109375" bestFit="1" customWidth="1"/>
    <col min="3" max="3" width="12.28515625" bestFit="1" customWidth="1"/>
    <col min="4" max="4" width="6.140625" bestFit="1" customWidth="1"/>
    <col min="5" max="5" width="10.7109375" customWidth="1"/>
    <col min="6" max="6" width="9.7109375" customWidth="1"/>
    <col min="7" max="7" width="6.5703125" hidden="1" customWidth="1"/>
    <col min="8" max="8" width="9.42578125" customWidth="1"/>
    <col min="9" max="9" width="6.7109375" hidden="1" customWidth="1"/>
    <col min="10" max="10" width="11" customWidth="1"/>
    <col min="11" max="11" width="0" hidden="1" customWidth="1"/>
  </cols>
  <sheetData>
    <row r="1" spans="1:13" ht="18" x14ac:dyDescent="0.25">
      <c r="A1" s="64" t="s">
        <v>1538</v>
      </c>
      <c r="B1" s="2"/>
      <c r="C1" s="2"/>
    </row>
    <row r="2" spans="1:13" ht="15" x14ac:dyDescent="0.2">
      <c r="A2" s="133"/>
      <c r="B2" s="134" t="s">
        <v>1522</v>
      </c>
      <c r="C2" s="153" t="s">
        <v>1531</v>
      </c>
      <c r="D2" s="154" t="s">
        <v>1523</v>
      </c>
      <c r="E2" s="154" t="s">
        <v>1532</v>
      </c>
      <c r="F2" s="154" t="s">
        <v>1524</v>
      </c>
      <c r="G2" s="154" t="s">
        <v>1533</v>
      </c>
      <c r="H2" s="154" t="s">
        <v>1534</v>
      </c>
      <c r="I2" s="154" t="s">
        <v>1536</v>
      </c>
      <c r="J2" s="154" t="s">
        <v>1537</v>
      </c>
      <c r="K2" s="154" t="s">
        <v>1620</v>
      </c>
      <c r="L2" s="154" t="s">
        <v>1622</v>
      </c>
      <c r="M2" s="136"/>
    </row>
    <row r="3" spans="1:13" ht="15" x14ac:dyDescent="0.2">
      <c r="A3" s="139" t="s">
        <v>1539</v>
      </c>
      <c r="B3" s="132">
        <v>2.2200000000000002</v>
      </c>
      <c r="C3" s="155">
        <v>2.61</v>
      </c>
      <c r="D3" s="155"/>
      <c r="E3" s="155"/>
      <c r="F3" s="156">
        <v>3</v>
      </c>
      <c r="G3" s="155"/>
      <c r="H3" s="155"/>
      <c r="I3" s="155"/>
      <c r="J3" s="155"/>
      <c r="K3" s="155"/>
      <c r="L3" s="155"/>
      <c r="M3" s="136"/>
    </row>
    <row r="4" spans="1:13" ht="15" x14ac:dyDescent="0.2">
      <c r="A4" s="139" t="s">
        <v>1528</v>
      </c>
      <c r="B4" s="51"/>
      <c r="C4" s="155"/>
      <c r="D4" s="155"/>
      <c r="E4" s="155"/>
      <c r="F4" s="157">
        <v>3.8</v>
      </c>
      <c r="G4" s="155">
        <v>2.5499999999999998</v>
      </c>
      <c r="H4" s="155">
        <v>3.0089999999999999</v>
      </c>
      <c r="I4" s="155"/>
      <c r="J4" s="155"/>
      <c r="K4" s="155"/>
      <c r="L4" s="155"/>
      <c r="M4" s="136"/>
    </row>
    <row r="5" spans="1:13" ht="15" x14ac:dyDescent="0.2">
      <c r="A5" s="139" t="s">
        <v>1527</v>
      </c>
      <c r="B5" s="51"/>
      <c r="C5" s="155"/>
      <c r="D5" s="155"/>
      <c r="E5" s="155"/>
      <c r="F5" s="157">
        <v>3.4</v>
      </c>
      <c r="G5" s="155"/>
      <c r="H5" s="155"/>
      <c r="I5" s="155"/>
      <c r="J5" s="155"/>
      <c r="K5" s="155"/>
      <c r="L5" s="155"/>
      <c r="M5" s="136"/>
    </row>
    <row r="6" spans="1:13" ht="15" x14ac:dyDescent="0.2">
      <c r="A6" s="139" t="s">
        <v>761</v>
      </c>
      <c r="B6" s="132">
        <v>3.32</v>
      </c>
      <c r="C6" s="158">
        <v>3.91</v>
      </c>
      <c r="D6" s="155"/>
      <c r="E6" s="155"/>
      <c r="F6" s="155"/>
      <c r="G6" s="155"/>
      <c r="H6" s="155"/>
      <c r="I6" s="155"/>
      <c r="J6" s="155"/>
      <c r="K6" s="155">
        <v>1.99</v>
      </c>
      <c r="L6" s="155">
        <v>2.34</v>
      </c>
      <c r="M6" s="136"/>
    </row>
    <row r="7" spans="1:13" ht="15" x14ac:dyDescent="0.2">
      <c r="A7" s="139" t="s">
        <v>760</v>
      </c>
      <c r="B7" s="132">
        <v>3</v>
      </c>
      <c r="C7" s="158">
        <v>3.54</v>
      </c>
      <c r="D7" s="155"/>
      <c r="E7" s="155"/>
      <c r="F7" s="155"/>
      <c r="G7" s="155"/>
      <c r="H7" s="155"/>
      <c r="I7" s="155"/>
      <c r="J7" s="155"/>
      <c r="K7" s="155"/>
      <c r="L7" s="155"/>
      <c r="M7" s="137"/>
    </row>
    <row r="8" spans="1:13" ht="15" x14ac:dyDescent="0.2">
      <c r="A8" s="139" t="s">
        <v>577</v>
      </c>
      <c r="B8" s="132">
        <v>1.37</v>
      </c>
      <c r="C8" s="158">
        <v>1.61</v>
      </c>
      <c r="D8" s="155"/>
      <c r="E8" s="155"/>
      <c r="F8" s="156">
        <v>2</v>
      </c>
      <c r="G8" s="155"/>
      <c r="H8" s="155"/>
      <c r="I8" s="155"/>
      <c r="J8" s="155"/>
      <c r="K8" s="155"/>
      <c r="L8" s="155"/>
      <c r="M8" s="136"/>
    </row>
    <row r="9" spans="1:13" ht="15" x14ac:dyDescent="0.2">
      <c r="A9" s="139" t="s">
        <v>764</v>
      </c>
      <c r="B9" s="132">
        <v>10</v>
      </c>
      <c r="C9" s="158">
        <v>11.8</v>
      </c>
      <c r="D9" s="155"/>
      <c r="E9" s="155"/>
      <c r="F9" s="155"/>
      <c r="G9" s="155"/>
      <c r="H9" s="155"/>
      <c r="I9" s="155"/>
      <c r="J9" s="155"/>
      <c r="K9" s="155"/>
      <c r="L9" s="155"/>
      <c r="M9" s="136"/>
    </row>
    <row r="10" spans="1:13" ht="15" x14ac:dyDescent="0.2">
      <c r="A10" s="139" t="s">
        <v>1530</v>
      </c>
      <c r="B10" s="51"/>
      <c r="C10" s="155"/>
      <c r="D10" s="155">
        <v>5.2</v>
      </c>
      <c r="E10" s="155">
        <v>6.1</v>
      </c>
      <c r="F10" s="155"/>
      <c r="G10" s="155"/>
      <c r="H10" s="155"/>
      <c r="I10" s="155"/>
      <c r="J10" s="155"/>
      <c r="K10" s="155"/>
      <c r="L10" s="155"/>
      <c r="M10" s="136"/>
    </row>
    <row r="11" spans="1:13" ht="15" x14ac:dyDescent="0.2">
      <c r="A11" s="139" t="s">
        <v>1525</v>
      </c>
      <c r="B11" s="132">
        <v>10.17</v>
      </c>
      <c r="C11" s="158">
        <v>12</v>
      </c>
      <c r="D11" s="155">
        <v>8</v>
      </c>
      <c r="E11" s="156">
        <v>9.44</v>
      </c>
      <c r="F11" s="155">
        <v>10</v>
      </c>
      <c r="G11" s="155"/>
      <c r="H11" s="155"/>
      <c r="I11" s="155"/>
      <c r="J11" s="155"/>
      <c r="K11" s="155">
        <v>7.5</v>
      </c>
      <c r="L11" s="155">
        <v>8.85</v>
      </c>
      <c r="M11" s="136"/>
    </row>
    <row r="12" spans="1:13" ht="15" x14ac:dyDescent="0.2">
      <c r="A12" s="139" t="s">
        <v>1529</v>
      </c>
      <c r="B12" s="51">
        <v>12.03</v>
      </c>
      <c r="C12" s="155">
        <v>14.1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36"/>
    </row>
    <row r="13" spans="1:13" ht="15" x14ac:dyDescent="0.2">
      <c r="A13" s="139" t="s">
        <v>977</v>
      </c>
      <c r="B13" s="132">
        <v>1.03</v>
      </c>
      <c r="C13" s="158">
        <v>1.21</v>
      </c>
      <c r="D13" s="155"/>
      <c r="E13" s="155"/>
      <c r="F13" s="155">
        <v>1.4</v>
      </c>
      <c r="G13" s="155"/>
      <c r="H13" s="155"/>
      <c r="I13" s="155"/>
      <c r="J13" s="155"/>
      <c r="K13" s="155">
        <v>0.75</v>
      </c>
      <c r="L13" s="155">
        <v>0.88</v>
      </c>
      <c r="M13" s="136"/>
    </row>
    <row r="14" spans="1:13" ht="15" x14ac:dyDescent="0.2">
      <c r="A14" s="139" t="s">
        <v>976</v>
      </c>
      <c r="B14" s="141">
        <v>1.44</v>
      </c>
      <c r="C14" s="159">
        <v>1.69</v>
      </c>
      <c r="D14" s="156">
        <v>1.4</v>
      </c>
      <c r="E14" s="156">
        <v>1.65</v>
      </c>
      <c r="F14" s="155">
        <v>2</v>
      </c>
      <c r="G14" s="155"/>
      <c r="H14" s="155"/>
      <c r="I14" s="155"/>
      <c r="J14" s="155"/>
      <c r="K14" s="155"/>
      <c r="L14" s="155"/>
      <c r="M14" s="136"/>
    </row>
    <row r="15" spans="1:13" ht="15" x14ac:dyDescent="0.2">
      <c r="A15" s="139" t="s">
        <v>763</v>
      </c>
      <c r="B15" s="132">
        <v>1</v>
      </c>
      <c r="C15" s="158">
        <v>1.18</v>
      </c>
      <c r="D15" s="155"/>
      <c r="E15" s="155"/>
      <c r="F15" s="155">
        <v>1.4</v>
      </c>
      <c r="G15" s="155"/>
      <c r="H15" s="155"/>
      <c r="I15" s="155"/>
      <c r="J15" s="155"/>
      <c r="K15" s="155">
        <v>0.88</v>
      </c>
      <c r="L15" s="155">
        <v>1.03</v>
      </c>
      <c r="M15" s="136"/>
    </row>
    <row r="16" spans="1:13" ht="15" x14ac:dyDescent="0.2">
      <c r="A16" s="139" t="s">
        <v>762</v>
      </c>
      <c r="B16" s="132">
        <v>4</v>
      </c>
      <c r="C16" s="158">
        <v>4.72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37"/>
    </row>
    <row r="17" spans="1:13" ht="15" x14ac:dyDescent="0.2">
      <c r="A17" s="139" t="s">
        <v>978</v>
      </c>
      <c r="B17" s="132">
        <v>35.9</v>
      </c>
      <c r="C17" s="158">
        <v>42.36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36"/>
    </row>
    <row r="18" spans="1:13" ht="15" x14ac:dyDescent="0.2">
      <c r="A18" s="139" t="s">
        <v>1526</v>
      </c>
      <c r="B18" s="51"/>
      <c r="C18" s="155"/>
      <c r="D18" s="155"/>
      <c r="E18" s="155"/>
      <c r="F18" s="157">
        <v>24.9</v>
      </c>
      <c r="G18" s="155"/>
      <c r="H18" s="155"/>
      <c r="I18" s="155"/>
      <c r="J18" s="155"/>
      <c r="K18" s="155"/>
      <c r="L18" s="155"/>
      <c r="M18" s="137"/>
    </row>
    <row r="19" spans="1:13" ht="15" x14ac:dyDescent="0.2">
      <c r="A19" s="139" t="s">
        <v>979</v>
      </c>
      <c r="B19" s="132">
        <v>0.85</v>
      </c>
      <c r="C19" s="158"/>
      <c r="D19" s="155"/>
      <c r="E19" s="155"/>
      <c r="F19" s="155">
        <v>1.5</v>
      </c>
      <c r="G19" s="155">
        <v>1.25</v>
      </c>
      <c r="H19" s="157">
        <v>1.47</v>
      </c>
      <c r="I19" s="155"/>
      <c r="J19" s="155"/>
      <c r="K19" s="155"/>
      <c r="L19" s="155"/>
      <c r="M19" s="136"/>
    </row>
    <row r="20" spans="1:13" ht="15" x14ac:dyDescent="0.2">
      <c r="A20" s="140" t="s">
        <v>1535</v>
      </c>
      <c r="B20" s="138"/>
      <c r="C20" s="155"/>
      <c r="D20" s="155"/>
      <c r="E20" s="155"/>
      <c r="F20" s="155"/>
      <c r="G20" s="155"/>
      <c r="H20" s="155"/>
      <c r="I20" s="155">
        <v>2.7</v>
      </c>
      <c r="J20" s="155">
        <v>3.18</v>
      </c>
      <c r="K20" s="155"/>
      <c r="L20" s="155"/>
      <c r="M20" s="136"/>
    </row>
    <row r="21" spans="1:13" ht="15" x14ac:dyDescent="0.2">
      <c r="A21" s="139" t="s">
        <v>1518</v>
      </c>
      <c r="B21" s="51"/>
      <c r="C21" s="155"/>
      <c r="D21" s="155">
        <v>1.28</v>
      </c>
      <c r="E21" s="155">
        <v>1.51</v>
      </c>
      <c r="F21" s="155"/>
      <c r="G21" s="155"/>
      <c r="H21" s="155"/>
      <c r="I21" s="155"/>
      <c r="J21" s="155"/>
      <c r="K21" s="155"/>
      <c r="L21" s="155"/>
      <c r="M21" s="136"/>
    </row>
    <row r="22" spans="1:13" ht="15" x14ac:dyDescent="0.2">
      <c r="J22" s="135"/>
      <c r="K22" s="135"/>
      <c r="L22" s="136"/>
      <c r="M22" s="137"/>
    </row>
    <row r="23" spans="1:13" ht="15" x14ac:dyDescent="0.2">
      <c r="J23" s="135"/>
      <c r="K23" s="135"/>
      <c r="L23" s="136"/>
      <c r="M23" s="136"/>
    </row>
    <row r="24" spans="1:13" ht="15.75" x14ac:dyDescent="0.25">
      <c r="A24" s="161" t="s">
        <v>1005</v>
      </c>
      <c r="J24" s="135"/>
      <c r="K24" s="135"/>
      <c r="L24" s="136"/>
      <c r="M24" s="136"/>
    </row>
    <row r="25" spans="1:13" ht="15.75" x14ac:dyDescent="0.25">
      <c r="A25" s="160" t="s">
        <v>1</v>
      </c>
      <c r="B25" s="12" t="s">
        <v>19</v>
      </c>
      <c r="C25" s="160" t="s">
        <v>424</v>
      </c>
      <c r="J25" s="135"/>
      <c r="K25" s="135"/>
      <c r="L25" s="136"/>
      <c r="M25" s="136"/>
    </row>
    <row r="26" spans="1:13" ht="15" x14ac:dyDescent="0.2">
      <c r="A26" s="123" t="s">
        <v>1555</v>
      </c>
      <c r="B26" s="123"/>
      <c r="C26" s="155">
        <v>40</v>
      </c>
      <c r="J26" s="135"/>
      <c r="K26" s="135"/>
      <c r="L26" s="136"/>
      <c r="M26" s="136"/>
    </row>
    <row r="27" spans="1:13" ht="15" x14ac:dyDescent="0.2">
      <c r="A27" s="123" t="s">
        <v>1556</v>
      </c>
      <c r="B27" s="123"/>
      <c r="C27" s="155">
        <v>22</v>
      </c>
      <c r="J27" s="135"/>
      <c r="K27" s="135"/>
      <c r="L27" s="136"/>
      <c r="M27" s="136"/>
    </row>
    <row r="28" spans="1:13" ht="15" x14ac:dyDescent="0.2">
      <c r="A28" s="123" t="s">
        <v>1557</v>
      </c>
      <c r="B28" s="123"/>
      <c r="C28" s="155">
        <v>17</v>
      </c>
      <c r="J28" s="135"/>
      <c r="K28" s="135"/>
      <c r="L28" s="136"/>
      <c r="M28" s="137"/>
    </row>
    <row r="29" spans="1:13" ht="15" x14ac:dyDescent="0.2">
      <c r="A29" s="123" t="s">
        <v>1558</v>
      </c>
      <c r="B29" s="123"/>
      <c r="C29" s="155">
        <v>6</v>
      </c>
      <c r="J29" s="135"/>
      <c r="K29" s="135"/>
      <c r="L29" s="136"/>
      <c r="M29" s="136"/>
    </row>
    <row r="30" spans="1:13" ht="15" x14ac:dyDescent="0.2">
      <c r="A30" s="123" t="s">
        <v>1559</v>
      </c>
      <c r="B30" s="123"/>
      <c r="C30" s="155">
        <v>7</v>
      </c>
      <c r="J30" s="135"/>
      <c r="K30" s="135"/>
      <c r="L30" s="136"/>
      <c r="M30" s="137"/>
    </row>
    <row r="31" spans="1:13" ht="15" x14ac:dyDescent="0.2">
      <c r="J31" s="135"/>
      <c r="K31" s="135"/>
      <c r="L31" s="136"/>
      <c r="M31" s="136"/>
    </row>
    <row r="32" spans="1:13" ht="15" x14ac:dyDescent="0.2">
      <c r="J32" s="135"/>
      <c r="K32" s="135"/>
      <c r="L32" s="136"/>
      <c r="M32" s="136"/>
    </row>
    <row r="33" spans="10:13" ht="15" x14ac:dyDescent="0.2">
      <c r="J33" s="135"/>
      <c r="K33" s="135"/>
      <c r="L33" s="136"/>
      <c r="M33" s="137"/>
    </row>
    <row r="34" spans="10:13" ht="15" x14ac:dyDescent="0.2">
      <c r="J34" s="135"/>
      <c r="K34" s="135"/>
      <c r="L34" s="136"/>
      <c r="M34" s="137"/>
    </row>
    <row r="35" spans="10:13" ht="15" x14ac:dyDescent="0.2">
      <c r="J35" s="135"/>
      <c r="K35" s="135"/>
      <c r="L35" s="136"/>
      <c r="M35" s="137"/>
    </row>
    <row r="36" spans="10:13" ht="15" x14ac:dyDescent="0.2">
      <c r="J36" s="135"/>
      <c r="K36" s="135"/>
      <c r="L36" s="136"/>
      <c r="M36" s="137"/>
    </row>
    <row r="37" spans="10:13" ht="15" x14ac:dyDescent="0.2">
      <c r="J37" s="135"/>
      <c r="K37" s="135"/>
      <c r="L37" s="136"/>
      <c r="M37" s="136"/>
    </row>
    <row r="38" spans="10:13" ht="15" x14ac:dyDescent="0.2">
      <c r="J38" s="135"/>
      <c r="K38" s="135"/>
      <c r="L38" s="136"/>
      <c r="M38" s="136"/>
    </row>
    <row r="39" spans="10:13" ht="15" x14ac:dyDescent="0.2">
      <c r="J39" s="135"/>
      <c r="K39" s="135"/>
      <c r="L39" s="136"/>
      <c r="M39" s="136"/>
    </row>
    <row r="40" spans="10:13" ht="15" x14ac:dyDescent="0.2">
      <c r="J40" s="135"/>
      <c r="K40" s="135"/>
      <c r="L40" s="136"/>
      <c r="M40" s="136"/>
    </row>
    <row r="41" spans="10:13" ht="15" x14ac:dyDescent="0.2">
      <c r="J41" s="135"/>
      <c r="K41" s="135"/>
      <c r="L41" s="136"/>
      <c r="M41" s="136"/>
    </row>
    <row r="42" spans="10:13" ht="15" x14ac:dyDescent="0.2">
      <c r="J42" s="135"/>
      <c r="K42" s="135"/>
      <c r="L42" s="136"/>
      <c r="M42" s="137"/>
    </row>
    <row r="43" spans="10:13" ht="15" x14ac:dyDescent="0.2">
      <c r="J43" s="135"/>
      <c r="K43" s="135"/>
      <c r="L43" s="136"/>
      <c r="M43" s="136"/>
    </row>
    <row r="44" spans="10:13" ht="15" x14ac:dyDescent="0.2">
      <c r="J44" s="135"/>
      <c r="K44" s="135"/>
      <c r="L44" s="136"/>
      <c r="M44" s="13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239C-AF1C-4DDC-81D9-09A0EF74DAC4}">
  <dimension ref="A1:D34"/>
  <sheetViews>
    <sheetView rightToLeft="1" tabSelected="1" workbookViewId="0">
      <selection activeCell="C10" sqref="C10"/>
    </sheetView>
  </sheetViews>
  <sheetFormatPr defaultRowHeight="12.75" x14ac:dyDescent="0.2"/>
  <cols>
    <col min="1" max="1" width="22.42578125" customWidth="1"/>
    <col min="3" max="3" width="20.28515625" customWidth="1"/>
  </cols>
  <sheetData>
    <row r="1" spans="1:4" x14ac:dyDescent="0.2">
      <c r="A1" s="7"/>
      <c r="B1" s="123" t="s">
        <v>17</v>
      </c>
      <c r="C1" s="123" t="s">
        <v>1643</v>
      </c>
      <c r="D1" s="7"/>
    </row>
    <row r="2" spans="1:4" x14ac:dyDescent="0.2">
      <c r="A2" s="7" t="s">
        <v>1640</v>
      </c>
      <c r="B2" s="7"/>
      <c r="C2" s="7"/>
      <c r="D2" s="7"/>
    </row>
    <row r="3" spans="1:4" x14ac:dyDescent="0.2">
      <c r="A3" s="7" t="s">
        <v>1642</v>
      </c>
      <c r="B3" s="7">
        <v>22</v>
      </c>
      <c r="C3" s="7"/>
      <c r="D3" s="7"/>
    </row>
    <row r="4" spans="1:4" x14ac:dyDescent="0.2">
      <c r="A4" s="27" t="s">
        <v>1660</v>
      </c>
      <c r="B4" s="7">
        <v>33.020000000000003</v>
      </c>
      <c r="C4" s="7">
        <v>28.07</v>
      </c>
      <c r="D4" s="7"/>
    </row>
    <row r="5" spans="1:4" x14ac:dyDescent="0.2">
      <c r="A5" s="27" t="s">
        <v>1644</v>
      </c>
      <c r="B5" s="27">
        <v>8.2799999999999994</v>
      </c>
      <c r="C5" s="7">
        <v>7.53</v>
      </c>
      <c r="D5" s="7"/>
    </row>
    <row r="6" spans="1:4" x14ac:dyDescent="0.2">
      <c r="A6" s="7" t="s">
        <v>1633</v>
      </c>
      <c r="B6" s="7">
        <v>141.69</v>
      </c>
      <c r="C6" s="7"/>
      <c r="D6" s="7"/>
    </row>
    <row r="7" spans="1:4" x14ac:dyDescent="0.2">
      <c r="A7" s="27" t="s">
        <v>1645</v>
      </c>
      <c r="B7" s="27">
        <v>55.01</v>
      </c>
      <c r="C7" s="7">
        <v>47.31</v>
      </c>
      <c r="D7" s="7"/>
    </row>
    <row r="8" spans="1:4" x14ac:dyDescent="0.2">
      <c r="A8" s="7" t="s">
        <v>1638</v>
      </c>
      <c r="B8" s="7">
        <v>5.31</v>
      </c>
      <c r="C8" s="7">
        <v>4.9400000000000004</v>
      </c>
      <c r="D8" s="7"/>
    </row>
    <row r="9" spans="1:4" x14ac:dyDescent="0.2">
      <c r="A9" s="27" t="s">
        <v>1651</v>
      </c>
      <c r="B9" s="27">
        <v>169.97</v>
      </c>
      <c r="C9" s="7">
        <v>154.66999999999999</v>
      </c>
      <c r="D9" s="7"/>
    </row>
    <row r="10" spans="1:4" x14ac:dyDescent="0.2">
      <c r="A10" s="7" t="s">
        <v>1639</v>
      </c>
      <c r="B10" s="7">
        <v>116.16</v>
      </c>
      <c r="C10" s="7"/>
      <c r="D10" s="7"/>
    </row>
    <row r="11" spans="1:4" x14ac:dyDescent="0.2">
      <c r="A11" s="27" t="s">
        <v>1652</v>
      </c>
      <c r="B11" s="27">
        <v>3.69</v>
      </c>
      <c r="C11" s="7"/>
      <c r="D11" s="7"/>
    </row>
    <row r="12" spans="1:4" x14ac:dyDescent="0.2">
      <c r="A12" s="27" t="s">
        <v>1653</v>
      </c>
      <c r="B12" s="7">
        <v>3.69</v>
      </c>
      <c r="C12" s="7">
        <v>3.14</v>
      </c>
      <c r="D12" s="7"/>
    </row>
    <row r="13" spans="1:4" x14ac:dyDescent="0.2">
      <c r="A13" s="7" t="s">
        <v>1631</v>
      </c>
      <c r="B13" s="7">
        <v>22.97</v>
      </c>
      <c r="C13" s="7"/>
      <c r="D13" s="7"/>
    </row>
    <row r="14" spans="1:4" x14ac:dyDescent="0.2">
      <c r="A14" s="27" t="s">
        <v>1649</v>
      </c>
      <c r="B14" s="27">
        <v>13.23</v>
      </c>
      <c r="C14" s="7"/>
      <c r="D14" s="7"/>
    </row>
    <row r="15" spans="1:4" x14ac:dyDescent="0.2">
      <c r="A15" s="27" t="s">
        <v>1657</v>
      </c>
      <c r="B15" s="7">
        <v>15.7</v>
      </c>
      <c r="C15" s="7">
        <v>13.5</v>
      </c>
      <c r="D15" s="7"/>
    </row>
    <row r="16" spans="1:4" x14ac:dyDescent="0.2">
      <c r="A16" s="27" t="s">
        <v>1648</v>
      </c>
      <c r="B16" s="27">
        <v>21.97</v>
      </c>
      <c r="C16" s="7">
        <v>18.89</v>
      </c>
      <c r="D16" s="7"/>
    </row>
    <row r="17" spans="1:4" x14ac:dyDescent="0.2">
      <c r="A17" s="7" t="s">
        <v>1630</v>
      </c>
      <c r="B17" s="7">
        <v>2.46</v>
      </c>
      <c r="C17" s="7">
        <v>2.09</v>
      </c>
      <c r="D17" s="7"/>
    </row>
    <row r="18" spans="1:4" x14ac:dyDescent="0.2">
      <c r="A18" s="27" t="s">
        <v>1650</v>
      </c>
      <c r="B18" s="27">
        <v>167.55</v>
      </c>
      <c r="C18" s="7"/>
      <c r="D18" s="7"/>
    </row>
    <row r="19" spans="1:4" x14ac:dyDescent="0.2">
      <c r="A19" s="27" t="s">
        <v>1661</v>
      </c>
      <c r="B19" s="7">
        <v>3.47</v>
      </c>
      <c r="C19" s="7"/>
      <c r="D19" s="7"/>
    </row>
    <row r="20" spans="1:4" x14ac:dyDescent="0.2">
      <c r="A20" s="27" t="s">
        <v>1654</v>
      </c>
      <c r="B20" s="7">
        <v>7.67</v>
      </c>
      <c r="C20" s="7">
        <v>7.21</v>
      </c>
      <c r="D20" s="7"/>
    </row>
    <row r="21" spans="1:4" x14ac:dyDescent="0.2">
      <c r="A21" s="27" t="s">
        <v>1655</v>
      </c>
      <c r="B21" s="7">
        <v>8.82</v>
      </c>
      <c r="C21" s="7">
        <v>8.2899999999999991</v>
      </c>
      <c r="D21" s="7"/>
    </row>
    <row r="22" spans="1:4" x14ac:dyDescent="0.2">
      <c r="A22" s="7" t="s">
        <v>1632</v>
      </c>
      <c r="B22" s="7">
        <v>48.33</v>
      </c>
      <c r="C22" s="7"/>
      <c r="D22" s="7"/>
    </row>
    <row r="23" spans="1:4" x14ac:dyDescent="0.2">
      <c r="A23" s="27" t="s">
        <v>1647</v>
      </c>
      <c r="B23" s="27">
        <v>10.78</v>
      </c>
      <c r="C23" s="7">
        <v>9.27</v>
      </c>
      <c r="D23" s="7"/>
    </row>
    <row r="24" spans="1:4" x14ac:dyDescent="0.2">
      <c r="A24" s="27" t="s">
        <v>1646</v>
      </c>
      <c r="B24" s="27">
        <v>39.619999999999997</v>
      </c>
      <c r="C24" s="7">
        <v>34.07</v>
      </c>
      <c r="D24" s="7"/>
    </row>
    <row r="25" spans="1:4" x14ac:dyDescent="0.2">
      <c r="A25" s="27" t="s">
        <v>1659</v>
      </c>
      <c r="B25" s="7">
        <v>41.71</v>
      </c>
      <c r="C25" s="7">
        <v>35.869999999999997</v>
      </c>
      <c r="D25" s="7"/>
    </row>
    <row r="26" spans="1:4" x14ac:dyDescent="0.2">
      <c r="A26" s="7" t="s">
        <v>1636</v>
      </c>
      <c r="B26" s="7">
        <v>36.78</v>
      </c>
      <c r="C26" s="7">
        <v>32.729999999999997</v>
      </c>
      <c r="D26" s="7"/>
    </row>
    <row r="27" spans="1:4" x14ac:dyDescent="0.2">
      <c r="A27" s="7" t="s">
        <v>1635</v>
      </c>
      <c r="B27" s="7">
        <v>4.5999999999999996</v>
      </c>
      <c r="C27" s="7">
        <v>3.91</v>
      </c>
      <c r="D27" s="7"/>
    </row>
    <row r="28" spans="1:4" x14ac:dyDescent="0.2">
      <c r="A28" s="7" t="s">
        <v>1637</v>
      </c>
      <c r="B28" s="7">
        <v>4.5999999999999996</v>
      </c>
      <c r="C28" s="7">
        <v>3.91</v>
      </c>
      <c r="D28" s="7"/>
    </row>
    <row r="29" spans="1:4" x14ac:dyDescent="0.2">
      <c r="A29" s="27" t="s">
        <v>1658</v>
      </c>
      <c r="B29" s="7">
        <v>1.39</v>
      </c>
      <c r="C29" s="7">
        <v>1.2</v>
      </c>
      <c r="D29" s="7"/>
    </row>
    <row r="30" spans="1:4" x14ac:dyDescent="0.2">
      <c r="A30" s="27" t="s">
        <v>1656</v>
      </c>
      <c r="B30" s="7">
        <v>2.2599999999999998</v>
      </c>
      <c r="C30" s="7">
        <v>1.65</v>
      </c>
      <c r="D30" s="7"/>
    </row>
    <row r="31" spans="1:4" x14ac:dyDescent="0.2">
      <c r="A31" s="7" t="s">
        <v>1452</v>
      </c>
      <c r="B31" s="7">
        <v>39.9</v>
      </c>
      <c r="C31" s="7">
        <v>39.9</v>
      </c>
      <c r="D31" s="7"/>
    </row>
    <row r="32" spans="1:4" x14ac:dyDescent="0.2">
      <c r="A32" s="7" t="s">
        <v>1641</v>
      </c>
      <c r="B32" s="7">
        <v>2.08</v>
      </c>
      <c r="C32" s="7">
        <v>1.89</v>
      </c>
      <c r="D32" s="7"/>
    </row>
    <row r="33" spans="1:4" x14ac:dyDescent="0.2">
      <c r="A33" s="27" t="s">
        <v>1662</v>
      </c>
      <c r="B33" s="7">
        <v>3.63</v>
      </c>
      <c r="C33" s="7">
        <v>3.41</v>
      </c>
      <c r="D33" s="7"/>
    </row>
    <row r="34" spans="1:4" x14ac:dyDescent="0.2">
      <c r="A34" s="7" t="s">
        <v>1634</v>
      </c>
      <c r="B34" s="7">
        <v>90.91</v>
      </c>
      <c r="C34" s="7">
        <v>81.819999999999993</v>
      </c>
      <c r="D34" s="7"/>
    </row>
  </sheetData>
  <sortState xmlns:xlrd2="http://schemas.microsoft.com/office/spreadsheetml/2017/richdata2" ref="A2:D34">
    <sortCondition ref="A2:A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4DCB-0919-44B1-B9CB-A1947424E17B}">
  <dimension ref="A1:IV121"/>
  <sheetViews>
    <sheetView rightToLeft="1" topLeftCell="A13" workbookViewId="0">
      <selection activeCell="D46" sqref="D46"/>
    </sheetView>
  </sheetViews>
  <sheetFormatPr defaultRowHeight="12.75" x14ac:dyDescent="0.2"/>
  <cols>
    <col min="1" max="1" width="34.85546875" customWidth="1"/>
    <col min="2" max="2" width="6.28515625" customWidth="1"/>
    <col min="3" max="3" width="10.85546875" style="145" customWidth="1"/>
    <col min="4" max="4" width="9.140625" style="145"/>
    <col min="5" max="5" width="10.5703125" style="145" customWidth="1"/>
  </cols>
  <sheetData>
    <row r="1" spans="1:256" ht="18.75" thickBot="1" x14ac:dyDescent="0.3">
      <c r="A1" s="11"/>
      <c r="C1" s="146"/>
      <c r="D1" s="146"/>
      <c r="E1" s="142"/>
    </row>
    <row r="2" spans="1:256" ht="15.75" x14ac:dyDescent="0.25">
      <c r="A2" s="173"/>
      <c r="B2" s="216" t="s">
        <v>1551</v>
      </c>
      <c r="C2" s="216"/>
      <c r="D2" s="216"/>
      <c r="E2" s="174" t="s">
        <v>1540</v>
      </c>
      <c r="F2" s="175" t="s">
        <v>1217</v>
      </c>
      <c r="G2" s="175" t="s">
        <v>1621</v>
      </c>
    </row>
    <row r="3" spans="1:256" ht="16.5" thickBot="1" x14ac:dyDescent="0.3">
      <c r="A3" s="176" t="s">
        <v>1</v>
      </c>
      <c r="B3" s="177" t="s">
        <v>19</v>
      </c>
      <c r="C3" s="178" t="s">
        <v>1550</v>
      </c>
      <c r="D3" s="178" t="s">
        <v>113</v>
      </c>
      <c r="E3" s="178" t="s">
        <v>1550</v>
      </c>
      <c r="F3" s="178" t="s">
        <v>1550</v>
      </c>
      <c r="G3" s="178" t="s">
        <v>1550</v>
      </c>
    </row>
    <row r="4" spans="1:256" ht="14.25" x14ac:dyDescent="0.2">
      <c r="A4" s="168" t="s">
        <v>1549</v>
      </c>
      <c r="B4" s="169" t="s">
        <v>1475</v>
      </c>
      <c r="C4" s="170">
        <v>25</v>
      </c>
      <c r="D4" s="170">
        <v>17.5</v>
      </c>
      <c r="E4" s="171">
        <v>15.1</v>
      </c>
      <c r="F4" s="172"/>
      <c r="G4" s="128"/>
    </row>
    <row r="5" spans="1:256" ht="14.25" x14ac:dyDescent="0.2">
      <c r="A5" s="152" t="s">
        <v>1573</v>
      </c>
      <c r="B5" s="50" t="s">
        <v>1475</v>
      </c>
      <c r="C5" s="150">
        <v>20.85</v>
      </c>
      <c r="D5" s="150">
        <v>14.6</v>
      </c>
      <c r="E5" s="151">
        <v>12.8</v>
      </c>
      <c r="F5" s="164">
        <v>14.64</v>
      </c>
      <c r="G5" s="164">
        <v>25</v>
      </c>
    </row>
    <row r="6" spans="1:256" ht="14.25" x14ac:dyDescent="0.2">
      <c r="A6" s="152" t="s">
        <v>1493</v>
      </c>
      <c r="B6" s="50" t="s">
        <v>1475</v>
      </c>
      <c r="C6" s="150">
        <v>36.450000000000003</v>
      </c>
      <c r="D6" s="150">
        <v>25.52</v>
      </c>
      <c r="E6" s="151"/>
      <c r="F6" s="7"/>
      <c r="G6" s="128"/>
    </row>
    <row r="7" spans="1:256" ht="14.25" x14ac:dyDescent="0.2">
      <c r="A7" s="152" t="s">
        <v>96</v>
      </c>
      <c r="B7" s="50" t="s">
        <v>1475</v>
      </c>
      <c r="C7" s="150">
        <v>20.85</v>
      </c>
      <c r="D7" s="150">
        <v>14.6</v>
      </c>
      <c r="E7" s="151">
        <v>12.8</v>
      </c>
      <c r="F7" s="164">
        <v>12</v>
      </c>
      <c r="G7" s="164">
        <v>21</v>
      </c>
      <c r="IV7">
        <f>SUM(B7:IU7)</f>
        <v>81.25</v>
      </c>
    </row>
    <row r="8" spans="1:256" ht="14.25" x14ac:dyDescent="0.2">
      <c r="A8" s="152" t="s">
        <v>1521</v>
      </c>
      <c r="B8" s="50">
        <v>25</v>
      </c>
      <c r="C8" s="150">
        <v>3.28</v>
      </c>
      <c r="D8" s="150">
        <v>2.2999999999999998</v>
      </c>
      <c r="E8" s="151"/>
      <c r="F8" s="7"/>
      <c r="G8" s="128"/>
    </row>
    <row r="9" spans="1:256" ht="14.25" x14ac:dyDescent="0.2">
      <c r="A9" s="152" t="s">
        <v>983</v>
      </c>
      <c r="B9" s="50" t="s">
        <v>1552</v>
      </c>
      <c r="C9" s="150">
        <v>2.39</v>
      </c>
      <c r="D9" s="150">
        <v>1.79</v>
      </c>
      <c r="E9" s="151"/>
      <c r="F9" s="7"/>
      <c r="G9" s="128"/>
    </row>
    <row r="10" spans="1:256" ht="14.25" x14ac:dyDescent="0.2">
      <c r="A10" s="152" t="s">
        <v>1541</v>
      </c>
      <c r="B10" s="50" t="s">
        <v>1552</v>
      </c>
      <c r="C10" s="150"/>
      <c r="D10" s="150"/>
      <c r="E10" s="151">
        <v>2.27</v>
      </c>
      <c r="F10" s="7"/>
      <c r="G10" s="128"/>
    </row>
    <row r="11" spans="1:256" ht="14.25" x14ac:dyDescent="0.2">
      <c r="A11" s="152" t="s">
        <v>1313</v>
      </c>
      <c r="B11" s="50" t="s">
        <v>1552</v>
      </c>
      <c r="C11" s="150">
        <v>3.4</v>
      </c>
      <c r="D11" s="150">
        <v>2.5499999999999998</v>
      </c>
      <c r="E11" s="151"/>
      <c r="F11" s="7"/>
      <c r="G11" s="128"/>
    </row>
    <row r="12" spans="1:256" ht="14.25" x14ac:dyDescent="0.2">
      <c r="A12" s="152" t="s">
        <v>1542</v>
      </c>
      <c r="B12" s="50" t="s">
        <v>1552</v>
      </c>
      <c r="C12" s="150"/>
      <c r="D12" s="150"/>
      <c r="E12" s="151">
        <v>2.9</v>
      </c>
      <c r="F12" s="7"/>
      <c r="G12" s="128"/>
    </row>
    <row r="13" spans="1:256" ht="14.25" x14ac:dyDescent="0.2">
      <c r="A13" s="152" t="s">
        <v>896</v>
      </c>
      <c r="B13" s="50" t="s">
        <v>1475</v>
      </c>
      <c r="C13" s="150">
        <v>24.19</v>
      </c>
      <c r="D13" s="150">
        <v>16.93</v>
      </c>
      <c r="E13" s="151">
        <v>12.8</v>
      </c>
      <c r="F13" s="7"/>
      <c r="G13" s="164">
        <v>25</v>
      </c>
    </row>
    <row r="14" spans="1:256" ht="14.25" x14ac:dyDescent="0.2">
      <c r="A14" s="152" t="s">
        <v>1547</v>
      </c>
      <c r="B14" s="50" t="s">
        <v>1552</v>
      </c>
      <c r="C14" s="150"/>
      <c r="D14" s="150"/>
      <c r="E14" s="151">
        <v>2.5499999999999998</v>
      </c>
      <c r="F14" s="7"/>
      <c r="G14" s="128"/>
    </row>
    <row r="15" spans="1:256" ht="14.25" x14ac:dyDescent="0.2">
      <c r="A15" s="152" t="s">
        <v>1323</v>
      </c>
      <c r="B15" s="50"/>
      <c r="C15" s="150">
        <v>5.67</v>
      </c>
      <c r="D15" s="150">
        <v>4.25</v>
      </c>
      <c r="E15" s="151"/>
      <c r="F15" s="7"/>
      <c r="G15" s="128"/>
    </row>
    <row r="16" spans="1:256" x14ac:dyDescent="0.2">
      <c r="A16" s="50" t="s">
        <v>1576</v>
      </c>
      <c r="B16" s="50" t="s">
        <v>1475</v>
      </c>
      <c r="C16" s="50"/>
      <c r="D16" s="50"/>
      <c r="E16" s="50">
        <v>12.8</v>
      </c>
      <c r="F16" s="7"/>
      <c r="G16" s="128"/>
    </row>
    <row r="17" spans="1:7" ht="14.25" x14ac:dyDescent="0.2">
      <c r="A17" s="152" t="s">
        <v>1544</v>
      </c>
      <c r="B17" s="50" t="s">
        <v>1552</v>
      </c>
      <c r="C17" s="150"/>
      <c r="D17" s="150"/>
      <c r="E17" s="151">
        <v>4</v>
      </c>
      <c r="F17" s="7"/>
      <c r="G17" s="128"/>
    </row>
    <row r="18" spans="1:7" ht="14.25" x14ac:dyDescent="0.2">
      <c r="A18" s="152" t="s">
        <v>1545</v>
      </c>
      <c r="B18" s="50" t="s">
        <v>1552</v>
      </c>
      <c r="C18" s="150"/>
      <c r="D18" s="150"/>
      <c r="E18" s="151">
        <v>5.5</v>
      </c>
      <c r="F18" s="7"/>
      <c r="G18" s="128"/>
    </row>
    <row r="19" spans="1:7" ht="14.25" x14ac:dyDescent="0.2">
      <c r="A19" s="152" t="s">
        <v>1199</v>
      </c>
      <c r="B19" s="50">
        <v>1</v>
      </c>
      <c r="C19" s="150">
        <v>7.61</v>
      </c>
      <c r="D19" s="150">
        <v>5.33</v>
      </c>
      <c r="E19" s="151"/>
      <c r="F19" s="7"/>
      <c r="G19" s="128"/>
    </row>
    <row r="20" spans="1:7" ht="14.25" x14ac:dyDescent="0.2">
      <c r="A20" s="152" t="s">
        <v>997</v>
      </c>
      <c r="B20" s="50" t="s">
        <v>1552</v>
      </c>
      <c r="C20" s="150">
        <v>2.5299999999999998</v>
      </c>
      <c r="D20" s="150">
        <v>1.9</v>
      </c>
      <c r="E20" s="151">
        <v>2.2799999999999998</v>
      </c>
      <c r="F20" s="7"/>
      <c r="G20" s="128"/>
    </row>
    <row r="21" spans="1:7" ht="14.25" x14ac:dyDescent="0.2">
      <c r="A21" s="152" t="s">
        <v>1001</v>
      </c>
      <c r="B21" s="50" t="s">
        <v>1552</v>
      </c>
      <c r="C21" s="150">
        <v>2.5</v>
      </c>
      <c r="D21" s="150">
        <v>1.88</v>
      </c>
      <c r="E21" s="151"/>
      <c r="F21" s="7"/>
      <c r="G21" s="128"/>
    </row>
    <row r="22" spans="1:7" ht="14.25" x14ac:dyDescent="0.2">
      <c r="A22" s="152" t="s">
        <v>1048</v>
      </c>
      <c r="B22" s="50" t="s">
        <v>1475</v>
      </c>
      <c r="C22" s="150">
        <v>24.19</v>
      </c>
      <c r="D22" s="150">
        <v>16.93</v>
      </c>
      <c r="E22" s="151">
        <v>12.8</v>
      </c>
      <c r="F22" s="7"/>
      <c r="G22" s="128"/>
    </row>
    <row r="23" spans="1:7" ht="14.25" x14ac:dyDescent="0.2">
      <c r="A23" s="152" t="s">
        <v>1543</v>
      </c>
      <c r="B23" s="50"/>
      <c r="C23" s="150"/>
      <c r="D23" s="150"/>
      <c r="E23" s="151">
        <v>26.6</v>
      </c>
      <c r="F23" s="7"/>
      <c r="G23" s="128"/>
    </row>
    <row r="24" spans="1:7" ht="14.25" x14ac:dyDescent="0.2">
      <c r="A24" s="152" t="s">
        <v>1546</v>
      </c>
      <c r="B24" s="50"/>
      <c r="C24" s="150"/>
      <c r="D24" s="150"/>
      <c r="E24" s="151">
        <v>10</v>
      </c>
      <c r="F24" s="7"/>
      <c r="G24" s="128"/>
    </row>
    <row r="25" spans="1:7" ht="14.25" x14ac:dyDescent="0.2">
      <c r="A25" s="152" t="s">
        <v>1054</v>
      </c>
      <c r="B25" s="50" t="s">
        <v>1552</v>
      </c>
      <c r="C25" s="150">
        <v>0.88</v>
      </c>
      <c r="D25" s="150">
        <v>0.66</v>
      </c>
      <c r="E25" s="151"/>
      <c r="F25" s="7"/>
      <c r="G25" s="128"/>
    </row>
    <row r="26" spans="1:7" ht="14.25" x14ac:dyDescent="0.2">
      <c r="A26" s="152" t="s">
        <v>1574</v>
      </c>
      <c r="B26" s="50"/>
      <c r="C26" s="150"/>
      <c r="D26" s="150"/>
      <c r="E26" s="151">
        <v>2.66</v>
      </c>
      <c r="F26" s="7"/>
      <c r="G26" s="128"/>
    </row>
    <row r="27" spans="1:7" ht="14.25" x14ac:dyDescent="0.2">
      <c r="A27" s="152" t="s">
        <v>1548</v>
      </c>
      <c r="B27" s="50" t="s">
        <v>1552</v>
      </c>
      <c r="C27" s="150"/>
      <c r="D27" s="150"/>
      <c r="E27" s="151">
        <v>0.73</v>
      </c>
      <c r="F27" s="7"/>
      <c r="G27" s="128"/>
    </row>
    <row r="28" spans="1:7" ht="14.25" x14ac:dyDescent="0.2">
      <c r="A28" s="152" t="s">
        <v>880</v>
      </c>
      <c r="B28" s="50">
        <v>60</v>
      </c>
      <c r="C28" s="150">
        <v>3.8</v>
      </c>
      <c r="D28" s="150">
        <v>2.66</v>
      </c>
      <c r="E28" s="151"/>
      <c r="F28" s="7"/>
      <c r="G28" s="128"/>
    </row>
    <row r="29" spans="1:7" ht="14.25" x14ac:dyDescent="0.2">
      <c r="A29" s="152" t="s">
        <v>1322</v>
      </c>
      <c r="B29" s="50" t="s">
        <v>1475</v>
      </c>
      <c r="C29" s="150">
        <v>28.36</v>
      </c>
      <c r="D29" s="150">
        <v>19.850000000000001</v>
      </c>
      <c r="E29" s="151"/>
      <c r="F29" s="7"/>
      <c r="G29" s="128"/>
    </row>
    <row r="30" spans="1:7" ht="14.25" x14ac:dyDescent="0.2">
      <c r="A30" s="152" t="s">
        <v>1201</v>
      </c>
      <c r="B30" s="50" t="s">
        <v>1475</v>
      </c>
      <c r="C30" s="150">
        <v>24.19</v>
      </c>
      <c r="D30" s="150">
        <v>16.93</v>
      </c>
      <c r="E30" s="151"/>
      <c r="F30" s="7"/>
      <c r="G30" s="128"/>
    </row>
    <row r="31" spans="1:7" ht="14.25" x14ac:dyDescent="0.2">
      <c r="A31" s="152" t="s">
        <v>1324</v>
      </c>
      <c r="B31" s="50" t="s">
        <v>1552</v>
      </c>
      <c r="C31" s="150">
        <v>1.87</v>
      </c>
      <c r="D31" s="150">
        <v>1.4</v>
      </c>
      <c r="E31" s="151"/>
      <c r="F31" s="7"/>
      <c r="G31" s="128">
        <v>2.2000000000000002</v>
      </c>
    </row>
    <row r="32" spans="1:7" ht="14.25" x14ac:dyDescent="0.2">
      <c r="A32" s="152" t="s">
        <v>1047</v>
      </c>
      <c r="B32" s="50">
        <v>40</v>
      </c>
      <c r="C32" s="150">
        <v>30.58</v>
      </c>
      <c r="D32" s="150">
        <v>21.41</v>
      </c>
      <c r="E32" s="151"/>
      <c r="F32" s="7"/>
      <c r="G32" s="128"/>
    </row>
    <row r="33" spans="1:7" ht="14.25" x14ac:dyDescent="0.2">
      <c r="A33" s="152" t="s">
        <v>1197</v>
      </c>
      <c r="B33" s="50" t="s">
        <v>1475</v>
      </c>
      <c r="C33" s="150">
        <v>27.99</v>
      </c>
      <c r="D33" s="150">
        <v>19.59</v>
      </c>
      <c r="E33" s="151"/>
      <c r="F33" s="7"/>
      <c r="G33" s="128"/>
    </row>
    <row r="34" spans="1:7" ht="14.25" x14ac:dyDescent="0.2">
      <c r="A34" s="152" t="s">
        <v>1198</v>
      </c>
      <c r="B34" s="50" t="s">
        <v>1475</v>
      </c>
      <c r="C34" s="150">
        <v>22</v>
      </c>
      <c r="D34" s="150">
        <v>15.4</v>
      </c>
      <c r="E34" s="151"/>
      <c r="F34" s="7"/>
      <c r="G34" s="128"/>
    </row>
    <row r="35" spans="1:7" ht="14.25" x14ac:dyDescent="0.2">
      <c r="A35" s="152" t="s">
        <v>1204</v>
      </c>
      <c r="B35" s="50" t="s">
        <v>1475</v>
      </c>
      <c r="C35" s="150">
        <v>13.15</v>
      </c>
      <c r="D35" s="150">
        <v>9.2100000000000009</v>
      </c>
      <c r="E35" s="151"/>
      <c r="F35" s="7"/>
      <c r="G35" s="128"/>
    </row>
    <row r="36" spans="1:7" ht="14.25" x14ac:dyDescent="0.2">
      <c r="A36" s="152" t="s">
        <v>1053</v>
      </c>
      <c r="B36" s="50">
        <v>1</v>
      </c>
      <c r="C36" s="150">
        <v>16</v>
      </c>
      <c r="D36" s="150">
        <v>11.2</v>
      </c>
      <c r="E36" s="151">
        <v>12.8</v>
      </c>
      <c r="F36" s="7"/>
      <c r="G36" s="128"/>
    </row>
    <row r="37" spans="1:7" ht="14.25" x14ac:dyDescent="0.2">
      <c r="A37" s="152" t="s">
        <v>1203</v>
      </c>
      <c r="B37" s="50">
        <v>1</v>
      </c>
      <c r="C37" s="150">
        <v>15.07</v>
      </c>
      <c r="D37" s="150">
        <v>10.55</v>
      </c>
      <c r="E37" s="151">
        <v>12.8</v>
      </c>
      <c r="F37" s="7"/>
      <c r="G37" s="128"/>
    </row>
    <row r="38" spans="1:7" ht="14.25" x14ac:dyDescent="0.2">
      <c r="A38" s="152" t="s">
        <v>902</v>
      </c>
      <c r="B38" s="50">
        <v>6</v>
      </c>
      <c r="C38" s="150">
        <v>16.170000000000002</v>
      </c>
      <c r="D38" s="150">
        <v>11.32</v>
      </c>
      <c r="E38" s="151">
        <v>12.8</v>
      </c>
      <c r="F38" s="7"/>
      <c r="G38" s="128"/>
    </row>
    <row r="39" spans="1:7" ht="14.25" x14ac:dyDescent="0.2">
      <c r="A39" s="152" t="s">
        <v>1520</v>
      </c>
      <c r="B39" s="50">
        <v>5</v>
      </c>
      <c r="C39" s="150">
        <v>38</v>
      </c>
      <c r="D39" s="150">
        <v>26.6</v>
      </c>
      <c r="E39" s="151"/>
      <c r="F39" s="7"/>
      <c r="G39" s="128"/>
    </row>
    <row r="40" spans="1:7" ht="14.25" x14ac:dyDescent="0.2">
      <c r="A40" s="152" t="s">
        <v>994</v>
      </c>
      <c r="B40" s="50"/>
      <c r="C40" s="150">
        <v>14.93</v>
      </c>
      <c r="D40" s="150">
        <v>10.24</v>
      </c>
      <c r="E40" s="151"/>
      <c r="F40" s="7"/>
      <c r="G40" s="128"/>
    </row>
    <row r="41" spans="1:7" ht="14.25" x14ac:dyDescent="0.2">
      <c r="A41" s="152" t="s">
        <v>1205</v>
      </c>
      <c r="B41" s="50">
        <v>1</v>
      </c>
      <c r="C41" s="150">
        <v>13.48</v>
      </c>
      <c r="D41" s="150">
        <v>9.69</v>
      </c>
      <c r="E41" s="151"/>
      <c r="F41" s="7"/>
      <c r="G41" s="164">
        <v>15</v>
      </c>
    </row>
    <row r="42" spans="1:7" ht="14.25" x14ac:dyDescent="0.2">
      <c r="A42" s="152" t="s">
        <v>901</v>
      </c>
      <c r="B42" s="50">
        <v>1</v>
      </c>
      <c r="C42" s="150">
        <v>13.48</v>
      </c>
      <c r="D42" s="150">
        <v>9.69</v>
      </c>
      <c r="E42" s="151"/>
      <c r="F42" s="7"/>
      <c r="G42" s="164">
        <v>13</v>
      </c>
    </row>
    <row r="43" spans="1:7" ht="14.25" x14ac:dyDescent="0.2">
      <c r="A43" s="152" t="s">
        <v>1577</v>
      </c>
      <c r="B43" s="50">
        <v>1</v>
      </c>
      <c r="C43" s="150"/>
      <c r="D43" s="150"/>
      <c r="E43" s="151">
        <v>3.82</v>
      </c>
      <c r="F43" s="7"/>
      <c r="G43" s="128"/>
    </row>
    <row r="44" spans="1:7" x14ac:dyDescent="0.2">
      <c r="A44" s="50" t="s">
        <v>999</v>
      </c>
      <c r="B44" s="50" t="s">
        <v>1552</v>
      </c>
      <c r="C44" s="50">
        <v>1.67</v>
      </c>
      <c r="D44" s="50">
        <v>1.25</v>
      </c>
      <c r="E44" s="50">
        <v>1.53</v>
      </c>
      <c r="F44" s="7"/>
      <c r="G44" s="128"/>
    </row>
    <row r="45" spans="1:7" x14ac:dyDescent="0.2">
      <c r="A45" s="50" t="s">
        <v>1578</v>
      </c>
      <c r="B45" s="50" t="s">
        <v>1475</v>
      </c>
      <c r="C45" s="50"/>
      <c r="D45" s="50">
        <v>12.8</v>
      </c>
      <c r="E45" s="50">
        <v>12.8</v>
      </c>
      <c r="F45" s="7"/>
      <c r="G45" s="128"/>
    </row>
    <row r="46" spans="1:7" x14ac:dyDescent="0.2">
      <c r="A46" s="50" t="s">
        <v>1050</v>
      </c>
      <c r="B46" s="50" t="s">
        <v>1475</v>
      </c>
      <c r="C46" s="50">
        <v>44.19</v>
      </c>
      <c r="D46" s="50">
        <v>30.93</v>
      </c>
      <c r="E46" s="50">
        <v>42</v>
      </c>
      <c r="F46" s="7"/>
      <c r="G46" s="128"/>
    </row>
    <row r="47" spans="1:7" x14ac:dyDescent="0.2">
      <c r="A47" s="50" t="s">
        <v>1200</v>
      </c>
      <c r="B47" s="50" t="s">
        <v>1475</v>
      </c>
      <c r="C47" s="50">
        <v>3.28</v>
      </c>
      <c r="D47" s="50">
        <v>2.2999999999999998</v>
      </c>
      <c r="E47" s="50">
        <v>2.3199999999999998</v>
      </c>
      <c r="F47" s="7"/>
      <c r="G47" s="128"/>
    </row>
    <row r="48" spans="1:7" x14ac:dyDescent="0.2">
      <c r="A48" s="50" t="s">
        <v>1049</v>
      </c>
      <c r="B48" s="50" t="s">
        <v>1475</v>
      </c>
      <c r="C48" s="50">
        <v>24.19</v>
      </c>
      <c r="D48" s="50">
        <v>16.93</v>
      </c>
      <c r="E48" s="50"/>
      <c r="F48" s="7"/>
      <c r="G48" s="128"/>
    </row>
    <row r="49" spans="1:7" x14ac:dyDescent="0.2">
      <c r="A49" s="50" t="s">
        <v>897</v>
      </c>
      <c r="B49" s="50">
        <v>8</v>
      </c>
      <c r="C49" s="50">
        <v>22.61</v>
      </c>
      <c r="D49" s="50">
        <v>15.83</v>
      </c>
      <c r="E49" s="50">
        <v>12.8</v>
      </c>
      <c r="F49" s="7"/>
      <c r="G49" s="128"/>
    </row>
    <row r="50" spans="1:7" x14ac:dyDescent="0.2">
      <c r="A50" s="50" t="s">
        <v>66</v>
      </c>
      <c r="B50" s="50" t="s">
        <v>1475</v>
      </c>
      <c r="C50" s="50">
        <v>20.81</v>
      </c>
      <c r="D50" s="50">
        <v>14.57</v>
      </c>
      <c r="E50" s="50">
        <v>12.8</v>
      </c>
      <c r="F50" s="7"/>
      <c r="G50" s="128"/>
    </row>
    <row r="51" spans="1:7" x14ac:dyDescent="0.2">
      <c r="A51" s="50" t="s">
        <v>904</v>
      </c>
      <c r="B51" s="50">
        <v>1</v>
      </c>
      <c r="C51" s="50">
        <v>16.62</v>
      </c>
      <c r="D51" s="50">
        <v>11.63</v>
      </c>
      <c r="E51" s="50"/>
      <c r="F51" s="7"/>
      <c r="G51" s="128"/>
    </row>
    <row r="52" spans="1:7" x14ac:dyDescent="0.2">
      <c r="A52" s="50" t="s">
        <v>1412</v>
      </c>
      <c r="B52" s="50" t="s">
        <v>1475</v>
      </c>
      <c r="C52" s="50">
        <v>24.2</v>
      </c>
      <c r="D52" s="50">
        <v>16.940000000000001</v>
      </c>
      <c r="E52" s="50"/>
      <c r="F52" s="7"/>
      <c r="G52" s="128"/>
    </row>
    <row r="53" spans="1:7" x14ac:dyDescent="0.2">
      <c r="A53" s="50" t="s">
        <v>1202</v>
      </c>
      <c r="B53" s="50" t="s">
        <v>1475</v>
      </c>
      <c r="C53" s="50">
        <v>25.04</v>
      </c>
      <c r="D53" s="50">
        <v>17.53</v>
      </c>
      <c r="E53" s="50"/>
      <c r="F53" s="7"/>
      <c r="G53" s="128"/>
    </row>
    <row r="54" spans="1:7" x14ac:dyDescent="0.2">
      <c r="A54" s="50" t="s">
        <v>895</v>
      </c>
      <c r="B54" s="50" t="s">
        <v>1475</v>
      </c>
      <c r="C54" s="50">
        <v>24.19</v>
      </c>
      <c r="D54" s="50">
        <v>16.93</v>
      </c>
      <c r="E54" s="50"/>
      <c r="F54" s="7"/>
      <c r="G54" s="128"/>
    </row>
    <row r="55" spans="1:7" x14ac:dyDescent="0.2">
      <c r="A55" s="50" t="s">
        <v>1575</v>
      </c>
      <c r="B55" s="50"/>
      <c r="C55" s="50"/>
      <c r="D55" s="50">
        <v>12.8</v>
      </c>
      <c r="E55" s="50"/>
      <c r="F55" s="7"/>
      <c r="G55" s="128"/>
    </row>
    <row r="56" spans="1:7" ht="14.25" x14ac:dyDescent="0.2">
      <c r="A56" s="152" t="s">
        <v>1628</v>
      </c>
      <c r="B56" s="50" t="s">
        <v>1475</v>
      </c>
      <c r="C56" s="150">
        <v>46</v>
      </c>
      <c r="D56" s="150">
        <v>32.200000000000003</v>
      </c>
      <c r="E56" s="151"/>
      <c r="F56" s="7"/>
      <c r="G56" s="128"/>
    </row>
    <row r="57" spans="1:7" ht="15" x14ac:dyDescent="0.2">
      <c r="A57" s="165"/>
      <c r="B57" s="165"/>
      <c r="C57" s="166"/>
      <c r="D57" s="166"/>
      <c r="E57" s="167"/>
    </row>
    <row r="58" spans="1:7" ht="15" x14ac:dyDescent="0.2">
      <c r="A58" s="56"/>
      <c r="B58" s="56"/>
      <c r="C58" s="148"/>
      <c r="D58" s="148"/>
      <c r="E58" s="143"/>
    </row>
    <row r="59" spans="1:7" ht="15" x14ac:dyDescent="0.2">
      <c r="A59" s="56"/>
      <c r="B59" s="56"/>
      <c r="C59" s="148"/>
      <c r="D59" s="148"/>
      <c r="E59" s="143"/>
    </row>
    <row r="60" spans="1:7" ht="15" x14ac:dyDescent="0.2">
      <c r="A60" s="56"/>
      <c r="B60" s="56"/>
      <c r="C60" s="148"/>
      <c r="D60" s="148"/>
      <c r="E60" s="143"/>
    </row>
    <row r="61" spans="1:7" ht="15" x14ac:dyDescent="0.2">
      <c r="A61" s="56"/>
      <c r="B61" s="56"/>
      <c r="C61" s="148"/>
      <c r="D61" s="148"/>
      <c r="E61" s="143"/>
    </row>
    <row r="62" spans="1:7" ht="15" x14ac:dyDescent="0.2">
      <c r="A62" s="56"/>
      <c r="B62" s="56"/>
      <c r="C62" s="148"/>
      <c r="D62" s="148"/>
      <c r="E62" s="143"/>
    </row>
    <row r="63" spans="1:7" ht="15.75" x14ac:dyDescent="0.25">
      <c r="A63" s="55"/>
      <c r="B63" s="55"/>
      <c r="C63" s="147"/>
      <c r="D63" s="147"/>
      <c r="E63" s="143"/>
    </row>
    <row r="64" spans="1:7" ht="15" x14ac:dyDescent="0.2">
      <c r="A64" s="56" t="s">
        <v>894</v>
      </c>
      <c r="B64" s="56">
        <v>7</v>
      </c>
      <c r="C64" s="148">
        <v>34.08</v>
      </c>
      <c r="D64" s="148"/>
      <c r="E64" s="143"/>
    </row>
    <row r="65" spans="1:5" ht="15" x14ac:dyDescent="0.2">
      <c r="A65" s="56" t="s">
        <v>893</v>
      </c>
      <c r="B65" s="56">
        <v>7</v>
      </c>
      <c r="C65" s="148">
        <v>34.08</v>
      </c>
      <c r="D65" s="148"/>
      <c r="E65" s="143"/>
    </row>
    <row r="66" spans="1:5" ht="15" x14ac:dyDescent="0.2">
      <c r="A66" s="56" t="s">
        <v>878</v>
      </c>
      <c r="B66" s="56">
        <v>30</v>
      </c>
      <c r="C66" s="148">
        <v>6.31</v>
      </c>
      <c r="D66" s="148"/>
      <c r="E66" s="143"/>
    </row>
    <row r="67" spans="1:5" ht="15" x14ac:dyDescent="0.2">
      <c r="A67" s="56" t="s">
        <v>879</v>
      </c>
      <c r="B67" s="56">
        <v>30</v>
      </c>
      <c r="C67" s="148">
        <v>6.31</v>
      </c>
      <c r="D67" s="148"/>
      <c r="E67" s="143"/>
    </row>
    <row r="68" spans="1:5" ht="15" x14ac:dyDescent="0.2">
      <c r="A68" s="56" t="s">
        <v>984</v>
      </c>
      <c r="B68" s="56"/>
      <c r="C68" s="148">
        <v>1.54</v>
      </c>
      <c r="D68" s="148">
        <v>1.1599999999999999</v>
      </c>
      <c r="E68" s="143"/>
    </row>
    <row r="69" spans="1:5" ht="15" x14ac:dyDescent="0.2">
      <c r="A69" s="56" t="s">
        <v>856</v>
      </c>
      <c r="B69" s="56"/>
      <c r="C69" s="148">
        <v>1.56</v>
      </c>
      <c r="D69" s="148">
        <v>1.17</v>
      </c>
      <c r="E69" s="143"/>
    </row>
    <row r="70" spans="1:5" ht="15" x14ac:dyDescent="0.2">
      <c r="A70" s="56" t="s">
        <v>857</v>
      </c>
      <c r="B70" s="56">
        <v>72</v>
      </c>
      <c r="C70" s="148">
        <v>1.56</v>
      </c>
      <c r="D70" s="148"/>
      <c r="E70" s="143"/>
    </row>
    <row r="71" spans="1:5" ht="15" x14ac:dyDescent="0.2">
      <c r="A71" s="56" t="s">
        <v>858</v>
      </c>
      <c r="B71" s="56">
        <v>32</v>
      </c>
      <c r="C71" s="148">
        <v>2.84</v>
      </c>
      <c r="D71" s="148"/>
      <c r="E71" s="143"/>
    </row>
    <row r="72" spans="1:5" ht="15" x14ac:dyDescent="0.2">
      <c r="A72" s="56" t="s">
        <v>1003</v>
      </c>
      <c r="B72" s="56"/>
      <c r="C72" s="148">
        <v>5.57</v>
      </c>
      <c r="D72" s="148">
        <v>4.18</v>
      </c>
      <c r="E72" s="143"/>
    </row>
    <row r="73" spans="1:5" ht="15" x14ac:dyDescent="0.2">
      <c r="A73" s="56" t="s">
        <v>873</v>
      </c>
      <c r="B73" s="56">
        <v>12</v>
      </c>
      <c r="C73" s="148">
        <v>16.079999999999998</v>
      </c>
      <c r="D73" s="148"/>
      <c r="E73" s="143"/>
    </row>
    <row r="74" spans="1:5" ht="15" x14ac:dyDescent="0.2">
      <c r="A74" s="56" t="s">
        <v>869</v>
      </c>
      <c r="B74" s="56">
        <v>12</v>
      </c>
      <c r="C74" s="148">
        <v>16.079999999999998</v>
      </c>
      <c r="D74" s="148"/>
      <c r="E74" s="143"/>
    </row>
    <row r="75" spans="1:5" ht="15" x14ac:dyDescent="0.2">
      <c r="A75" s="56" t="s">
        <v>862</v>
      </c>
      <c r="B75" s="56">
        <v>48</v>
      </c>
      <c r="C75" s="148">
        <v>5.3</v>
      </c>
      <c r="D75" s="148"/>
      <c r="E75" s="143"/>
    </row>
    <row r="76" spans="1:5" ht="15" x14ac:dyDescent="0.2">
      <c r="A76" s="56" t="s">
        <v>865</v>
      </c>
      <c r="B76" s="56">
        <v>36</v>
      </c>
      <c r="C76" s="148">
        <v>5.3</v>
      </c>
      <c r="D76" s="148"/>
      <c r="E76" s="143"/>
    </row>
    <row r="77" spans="1:5" ht="15" x14ac:dyDescent="0.2">
      <c r="A77" s="56" t="s">
        <v>863</v>
      </c>
      <c r="B77" s="56">
        <v>48</v>
      </c>
      <c r="C77" s="148">
        <v>5.3</v>
      </c>
      <c r="D77" s="148"/>
      <c r="E77" s="143"/>
    </row>
    <row r="78" spans="1:5" ht="15" x14ac:dyDescent="0.2">
      <c r="A78" s="56" t="s">
        <v>861</v>
      </c>
      <c r="B78" s="56">
        <v>48</v>
      </c>
      <c r="C78" s="148">
        <v>5.3</v>
      </c>
      <c r="D78" s="148"/>
      <c r="E78" s="143"/>
    </row>
    <row r="79" spans="1:5" ht="15" x14ac:dyDescent="0.2">
      <c r="A79" s="56" t="s">
        <v>860</v>
      </c>
      <c r="B79" s="56">
        <v>40</v>
      </c>
      <c r="C79" s="148">
        <v>2.63</v>
      </c>
      <c r="D79" s="148"/>
      <c r="E79" s="143"/>
    </row>
    <row r="80" spans="1:5" ht="15" x14ac:dyDescent="0.2">
      <c r="A80" s="56" t="s">
        <v>864</v>
      </c>
      <c r="B80" s="56">
        <v>48</v>
      </c>
      <c r="C80" s="148">
        <v>5.3</v>
      </c>
      <c r="D80" s="148"/>
      <c r="E80" s="143"/>
    </row>
    <row r="81" spans="1:5" ht="15" x14ac:dyDescent="0.2">
      <c r="A81" s="56" t="s">
        <v>998</v>
      </c>
      <c r="B81" s="56"/>
      <c r="C81" s="148">
        <v>1.38</v>
      </c>
      <c r="D81" s="148">
        <v>1.04</v>
      </c>
      <c r="E81" s="143"/>
    </row>
    <row r="82" spans="1:5" ht="15" x14ac:dyDescent="0.2">
      <c r="A82" s="56" t="s">
        <v>996</v>
      </c>
      <c r="B82" s="56"/>
      <c r="C82" s="148">
        <v>28.58</v>
      </c>
      <c r="D82" s="148">
        <v>20.010000000000002</v>
      </c>
      <c r="E82" s="143"/>
    </row>
    <row r="83" spans="1:5" ht="15" x14ac:dyDescent="0.2">
      <c r="A83" s="56" t="s">
        <v>985</v>
      </c>
      <c r="B83" s="56"/>
      <c r="C83" s="148">
        <v>7.42</v>
      </c>
      <c r="D83" s="148">
        <v>5.75</v>
      </c>
      <c r="E83" s="143"/>
    </row>
    <row r="84" spans="1:5" ht="15" x14ac:dyDescent="0.2">
      <c r="A84" s="56" t="s">
        <v>868</v>
      </c>
      <c r="B84" s="56">
        <v>12</v>
      </c>
      <c r="C84" s="148">
        <v>18.760000000000002</v>
      </c>
      <c r="D84" s="148"/>
      <c r="E84" s="143"/>
    </row>
    <row r="85" spans="1:5" ht="15" x14ac:dyDescent="0.2">
      <c r="A85" s="56" t="s">
        <v>867</v>
      </c>
      <c r="B85" s="56">
        <v>12</v>
      </c>
      <c r="C85" s="148">
        <v>18.760000000000002</v>
      </c>
      <c r="D85" s="148"/>
      <c r="E85" s="143"/>
    </row>
    <row r="86" spans="1:5" ht="15" x14ac:dyDescent="0.2">
      <c r="A86" s="56" t="s">
        <v>872</v>
      </c>
      <c r="B86" s="56">
        <v>12</v>
      </c>
      <c r="C86" s="148">
        <v>16.079999999999998</v>
      </c>
      <c r="D86" s="148"/>
      <c r="E86" s="143"/>
    </row>
    <row r="87" spans="1:5" ht="15" x14ac:dyDescent="0.2">
      <c r="A87" s="56" t="s">
        <v>871</v>
      </c>
      <c r="B87" s="56">
        <v>12</v>
      </c>
      <c r="C87" s="148">
        <v>16.079999999999998</v>
      </c>
      <c r="D87" s="148"/>
      <c r="E87" s="143"/>
    </row>
    <row r="88" spans="1:5" ht="15" x14ac:dyDescent="0.2">
      <c r="A88" s="56" t="s">
        <v>870</v>
      </c>
      <c r="B88" s="56">
        <v>12</v>
      </c>
      <c r="C88" s="148">
        <v>16.079999999999998</v>
      </c>
      <c r="D88" s="148"/>
      <c r="E88" s="143"/>
    </row>
    <row r="89" spans="1:5" ht="15" x14ac:dyDescent="0.2">
      <c r="A89" s="56" t="s">
        <v>900</v>
      </c>
      <c r="B89" s="56">
        <v>8</v>
      </c>
      <c r="C89" s="148">
        <v>22.62</v>
      </c>
      <c r="D89" s="148"/>
      <c r="E89" s="143"/>
    </row>
    <row r="90" spans="1:5" ht="15" x14ac:dyDescent="0.2">
      <c r="A90" s="56" t="s">
        <v>899</v>
      </c>
      <c r="B90" s="56">
        <v>8</v>
      </c>
      <c r="C90" s="148">
        <v>22.62</v>
      </c>
      <c r="D90" s="148">
        <v>15.83</v>
      </c>
      <c r="E90" s="143"/>
    </row>
    <row r="91" spans="1:5" ht="15" x14ac:dyDescent="0.2">
      <c r="A91" s="56" t="s">
        <v>1004</v>
      </c>
      <c r="B91" s="56">
        <v>36</v>
      </c>
      <c r="C91" s="148">
        <v>4.24</v>
      </c>
      <c r="D91" s="148"/>
      <c r="E91" s="143"/>
    </row>
    <row r="92" spans="1:5" ht="15" x14ac:dyDescent="0.2">
      <c r="A92" s="56" t="s">
        <v>866</v>
      </c>
      <c r="B92" s="56">
        <v>36</v>
      </c>
      <c r="C92" s="148">
        <v>4.24</v>
      </c>
      <c r="D92" s="148"/>
      <c r="E92" s="143"/>
    </row>
    <row r="93" spans="1:5" ht="15" x14ac:dyDescent="0.2">
      <c r="A93" s="56" t="s">
        <v>882</v>
      </c>
      <c r="B93" s="56">
        <v>8</v>
      </c>
      <c r="C93" s="148">
        <v>14.08</v>
      </c>
      <c r="D93" s="148"/>
      <c r="E93" s="143"/>
    </row>
    <row r="94" spans="1:5" ht="15" x14ac:dyDescent="0.2">
      <c r="A94" s="56" t="s">
        <v>1002</v>
      </c>
      <c r="B94" s="56"/>
      <c r="C94" s="148">
        <v>2.63</v>
      </c>
      <c r="D94" s="148">
        <v>1.97</v>
      </c>
      <c r="E94" s="143"/>
    </row>
    <row r="95" spans="1:5" ht="15" x14ac:dyDescent="0.2">
      <c r="A95" s="56" t="s">
        <v>1046</v>
      </c>
      <c r="B95" s="56">
        <v>24</v>
      </c>
      <c r="C95" s="148">
        <v>26.59</v>
      </c>
      <c r="D95" s="148">
        <v>18.61</v>
      </c>
      <c r="E95" s="143"/>
    </row>
    <row r="96" spans="1:5" ht="15" x14ac:dyDescent="0.2">
      <c r="A96" s="56" t="s">
        <v>884</v>
      </c>
      <c r="B96" s="56">
        <v>8</v>
      </c>
      <c r="C96" s="148">
        <v>14.08</v>
      </c>
      <c r="D96" s="148"/>
      <c r="E96" s="143"/>
    </row>
    <row r="97" spans="1:5" ht="15" x14ac:dyDescent="0.2">
      <c r="A97" s="56" t="s">
        <v>885</v>
      </c>
      <c r="B97" s="56">
        <v>8</v>
      </c>
      <c r="C97" s="148">
        <v>14.08</v>
      </c>
      <c r="D97" s="148"/>
      <c r="E97" s="143"/>
    </row>
    <row r="98" spans="1:5" ht="15" x14ac:dyDescent="0.2">
      <c r="A98" s="56" t="s">
        <v>986</v>
      </c>
      <c r="B98" s="56"/>
      <c r="C98" s="148">
        <v>68.8</v>
      </c>
      <c r="D98" s="148">
        <v>48.16</v>
      </c>
      <c r="E98" s="143"/>
    </row>
    <row r="99" spans="1:5" ht="15" x14ac:dyDescent="0.2">
      <c r="A99" s="56" t="s">
        <v>988</v>
      </c>
      <c r="B99" s="56"/>
      <c r="C99" s="148">
        <v>39.69</v>
      </c>
      <c r="D99" s="148">
        <v>27.78</v>
      </c>
      <c r="E99" s="143"/>
    </row>
    <row r="100" spans="1:5" ht="15" x14ac:dyDescent="0.2">
      <c r="A100" s="56" t="s">
        <v>989</v>
      </c>
      <c r="B100" s="56"/>
      <c r="C100" s="148">
        <v>39.69</v>
      </c>
      <c r="D100" s="148">
        <v>27.78</v>
      </c>
      <c r="E100" s="143"/>
    </row>
    <row r="101" spans="1:5" ht="15" x14ac:dyDescent="0.2">
      <c r="A101" s="56" t="s">
        <v>991</v>
      </c>
      <c r="B101" s="56"/>
      <c r="C101" s="148">
        <v>39.69</v>
      </c>
      <c r="D101" s="148">
        <v>27.78</v>
      </c>
      <c r="E101" s="143"/>
    </row>
    <row r="102" spans="1:5" ht="15" x14ac:dyDescent="0.2">
      <c r="A102" s="56" t="s">
        <v>990</v>
      </c>
      <c r="B102" s="56"/>
      <c r="C102" s="148">
        <v>39.69</v>
      </c>
      <c r="D102" s="148">
        <v>27.78</v>
      </c>
      <c r="E102" s="143"/>
    </row>
    <row r="103" spans="1:5" ht="15" x14ac:dyDescent="0.2">
      <c r="A103" s="56" t="s">
        <v>881</v>
      </c>
      <c r="B103" s="56">
        <v>42</v>
      </c>
      <c r="C103" s="148">
        <v>5.51</v>
      </c>
      <c r="D103" s="148"/>
      <c r="E103" s="143"/>
    </row>
    <row r="104" spans="1:5" ht="15" x14ac:dyDescent="0.2">
      <c r="A104" s="56" t="s">
        <v>982</v>
      </c>
      <c r="B104" s="56">
        <v>7</v>
      </c>
      <c r="C104" s="148">
        <v>34.07</v>
      </c>
      <c r="D104" s="148">
        <v>23.85</v>
      </c>
      <c r="E104" s="143"/>
    </row>
    <row r="105" spans="1:5" ht="15" x14ac:dyDescent="0.2">
      <c r="A105" s="56" t="s">
        <v>1000</v>
      </c>
      <c r="B105" s="56"/>
      <c r="C105" s="148">
        <v>1.81</v>
      </c>
      <c r="D105" s="148">
        <v>1.36</v>
      </c>
      <c r="E105" s="143"/>
    </row>
    <row r="106" spans="1:5" ht="15" x14ac:dyDescent="0.2">
      <c r="A106" s="56" t="s">
        <v>898</v>
      </c>
      <c r="B106" s="56">
        <v>8</v>
      </c>
      <c r="C106" s="148">
        <v>22.62</v>
      </c>
      <c r="D106" s="148"/>
      <c r="E106" s="143"/>
    </row>
    <row r="107" spans="1:5" ht="15" x14ac:dyDescent="0.2">
      <c r="A107" s="56" t="s">
        <v>888</v>
      </c>
      <c r="B107" s="56">
        <v>6</v>
      </c>
      <c r="C107" s="148">
        <v>41.29</v>
      </c>
      <c r="D107" s="148"/>
      <c r="E107" s="143"/>
    </row>
    <row r="108" spans="1:5" ht="15" x14ac:dyDescent="0.2">
      <c r="A108" s="56" t="s">
        <v>889</v>
      </c>
      <c r="B108" s="56">
        <v>6</v>
      </c>
      <c r="C108" s="148">
        <v>41.3</v>
      </c>
      <c r="D108" s="148">
        <v>28.91</v>
      </c>
      <c r="E108" s="143"/>
    </row>
    <row r="109" spans="1:5" ht="15" x14ac:dyDescent="0.2">
      <c r="A109" s="56" t="s">
        <v>891</v>
      </c>
      <c r="B109" s="56">
        <v>6</v>
      </c>
      <c r="C109" s="148">
        <v>41.29</v>
      </c>
      <c r="D109" s="148"/>
      <c r="E109" s="143"/>
    </row>
    <row r="110" spans="1:5" ht="15" x14ac:dyDescent="0.2">
      <c r="A110" s="56" t="s">
        <v>877</v>
      </c>
      <c r="B110" s="56"/>
      <c r="C110" s="148">
        <v>3.28</v>
      </c>
      <c r="D110" s="148">
        <v>2.2999999999999998</v>
      </c>
      <c r="E110" s="143"/>
    </row>
    <row r="111" spans="1:5" ht="15" x14ac:dyDescent="0.2">
      <c r="A111" s="56" t="s">
        <v>875</v>
      </c>
      <c r="B111" s="56">
        <v>50</v>
      </c>
      <c r="C111" s="148">
        <v>3.07</v>
      </c>
      <c r="D111" s="148"/>
      <c r="E111" s="143"/>
    </row>
    <row r="112" spans="1:5" ht="15" x14ac:dyDescent="0.2">
      <c r="A112" s="56" t="s">
        <v>876</v>
      </c>
      <c r="B112" s="56">
        <v>50</v>
      </c>
      <c r="C112" s="148">
        <v>3.07</v>
      </c>
      <c r="D112" s="148"/>
      <c r="E112" s="143"/>
    </row>
    <row r="113" spans="1:5" ht="15" x14ac:dyDescent="0.2">
      <c r="A113" s="56" t="s">
        <v>903</v>
      </c>
      <c r="B113" s="56">
        <v>12</v>
      </c>
      <c r="C113" s="148">
        <v>16.62</v>
      </c>
      <c r="D113" s="148">
        <v>11.63</v>
      </c>
      <c r="E113" s="143"/>
    </row>
    <row r="114" spans="1:5" ht="15" x14ac:dyDescent="0.2">
      <c r="A114" s="56" t="s">
        <v>987</v>
      </c>
      <c r="B114" s="56"/>
      <c r="C114" s="148">
        <v>22.61</v>
      </c>
      <c r="D114" s="148">
        <v>15.83</v>
      </c>
      <c r="E114" s="143"/>
    </row>
    <row r="115" spans="1:5" ht="15" x14ac:dyDescent="0.2">
      <c r="A115" s="56" t="s">
        <v>886</v>
      </c>
      <c r="B115" s="56">
        <v>16</v>
      </c>
      <c r="C115" s="148">
        <v>7.11</v>
      </c>
      <c r="D115" s="148"/>
      <c r="E115" s="143"/>
    </row>
    <row r="116" spans="1:5" ht="15" x14ac:dyDescent="0.2">
      <c r="A116" s="56" t="s">
        <v>887</v>
      </c>
      <c r="B116" s="56">
        <v>16</v>
      </c>
      <c r="C116" s="148">
        <v>7.11</v>
      </c>
      <c r="D116" s="148"/>
      <c r="E116" s="143"/>
    </row>
    <row r="117" spans="1:5" ht="15" x14ac:dyDescent="0.2">
      <c r="A117" s="56" t="s">
        <v>874</v>
      </c>
      <c r="B117" s="56">
        <v>10</v>
      </c>
      <c r="C117" s="148">
        <v>17.71</v>
      </c>
      <c r="D117" s="148"/>
      <c r="E117" s="143"/>
    </row>
    <row r="118" spans="1:5" x14ac:dyDescent="0.2">
      <c r="A118" s="7"/>
      <c r="B118" s="7"/>
      <c r="C118" s="149"/>
      <c r="D118" s="149"/>
      <c r="E118" s="144"/>
    </row>
    <row r="119" spans="1:5" x14ac:dyDescent="0.2">
      <c r="A119" s="7"/>
      <c r="B119" s="7"/>
      <c r="C119" s="149"/>
      <c r="D119" s="149"/>
      <c r="E119" s="144"/>
    </row>
    <row r="120" spans="1:5" x14ac:dyDescent="0.2">
      <c r="A120" s="7"/>
      <c r="B120" s="7"/>
      <c r="C120" s="149"/>
      <c r="D120" s="149"/>
      <c r="E120" s="144"/>
    </row>
    <row r="121" spans="1:5" x14ac:dyDescent="0.2">
      <c r="A121" s="7"/>
      <c r="B121" s="7"/>
      <c r="C121" s="149"/>
      <c r="D121" s="149"/>
      <c r="E121" s="144"/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0BB4-5ED7-4739-BEC6-73BAB94AAE01}">
  <dimension ref="A1:X396"/>
  <sheetViews>
    <sheetView rightToLeft="1" topLeftCell="A195" workbookViewId="0">
      <selection activeCell="L223" sqref="L223"/>
    </sheetView>
  </sheetViews>
  <sheetFormatPr defaultRowHeight="12.75" x14ac:dyDescent="0.2"/>
  <cols>
    <col min="1" max="1" width="35.7109375" style="53" customWidth="1"/>
    <col min="2" max="2" width="10.7109375" style="101" customWidth="1"/>
    <col min="3" max="3" width="11" style="107" customWidth="1"/>
    <col min="4" max="4" width="9.42578125" style="107" customWidth="1"/>
    <col min="5" max="5" width="10.28515625" style="107" customWidth="1"/>
    <col min="6" max="6" width="12.42578125" style="122" customWidth="1"/>
  </cols>
  <sheetData>
    <row r="1" spans="1:7" ht="15" x14ac:dyDescent="0.25">
      <c r="A1" s="49" t="s">
        <v>1</v>
      </c>
      <c r="B1" s="97" t="s">
        <v>19</v>
      </c>
      <c r="C1" s="105" t="s">
        <v>424</v>
      </c>
      <c r="D1" s="105"/>
      <c r="E1" s="126" t="s">
        <v>779</v>
      </c>
      <c r="F1" s="208" t="s">
        <v>426</v>
      </c>
      <c r="G1" s="212" t="s">
        <v>1619</v>
      </c>
    </row>
    <row r="2" spans="1:7" ht="15" x14ac:dyDescent="0.25">
      <c r="A2" s="50" t="s">
        <v>1325</v>
      </c>
      <c r="B2" s="98" t="s">
        <v>463</v>
      </c>
      <c r="C2" s="102">
        <v>24</v>
      </c>
      <c r="D2" s="102"/>
      <c r="E2" s="126"/>
      <c r="F2" s="209"/>
      <c r="G2" s="213"/>
    </row>
    <row r="3" spans="1:7" ht="15" x14ac:dyDescent="0.25">
      <c r="A3" s="51" t="s">
        <v>1433</v>
      </c>
      <c r="B3" s="99" t="s">
        <v>463</v>
      </c>
      <c r="C3" s="104">
        <v>12</v>
      </c>
      <c r="D3" s="104"/>
      <c r="E3" s="126"/>
      <c r="F3" s="209"/>
      <c r="G3" s="213"/>
    </row>
    <row r="4" spans="1:7" x14ac:dyDescent="0.2">
      <c r="A4" s="50" t="s">
        <v>1247</v>
      </c>
      <c r="B4" s="98" t="s">
        <v>1306</v>
      </c>
      <c r="C4" s="102">
        <v>31</v>
      </c>
      <c r="D4" s="102">
        <v>33</v>
      </c>
      <c r="E4" s="102"/>
      <c r="F4" s="209"/>
      <c r="G4" s="213"/>
    </row>
    <row r="5" spans="1:7" ht="15" x14ac:dyDescent="0.25">
      <c r="A5" s="50" t="s">
        <v>906</v>
      </c>
      <c r="B5" s="98" t="s">
        <v>463</v>
      </c>
      <c r="C5" s="102">
        <v>12</v>
      </c>
      <c r="D5" s="102"/>
      <c r="E5" s="126"/>
      <c r="F5" s="209"/>
      <c r="G5" s="213"/>
    </row>
    <row r="6" spans="1:7" ht="15" x14ac:dyDescent="0.25">
      <c r="A6" s="51" t="s">
        <v>1358</v>
      </c>
      <c r="B6" s="99" t="s">
        <v>463</v>
      </c>
      <c r="C6" s="104">
        <v>21.76</v>
      </c>
      <c r="D6" s="104"/>
      <c r="E6" s="126"/>
      <c r="F6" s="209"/>
      <c r="G6" s="213"/>
    </row>
    <row r="7" spans="1:7" ht="15" x14ac:dyDescent="0.25">
      <c r="A7" s="50" t="s">
        <v>1393</v>
      </c>
      <c r="B7" s="98" t="s">
        <v>516</v>
      </c>
      <c r="C7" s="104">
        <v>75.42</v>
      </c>
      <c r="D7" s="104"/>
      <c r="E7" s="126"/>
      <c r="F7" s="209"/>
      <c r="G7" s="213"/>
    </row>
    <row r="8" spans="1:7" ht="15" x14ac:dyDescent="0.25">
      <c r="A8" s="51" t="s">
        <v>1434</v>
      </c>
      <c r="B8" s="99" t="s">
        <v>819</v>
      </c>
      <c r="C8" s="104">
        <v>120</v>
      </c>
      <c r="D8" s="104"/>
      <c r="E8" s="126"/>
      <c r="F8" s="209"/>
      <c r="G8" s="213"/>
    </row>
    <row r="9" spans="1:7" ht="15" x14ac:dyDescent="0.25">
      <c r="A9" s="50" t="s">
        <v>675</v>
      </c>
      <c r="B9" s="98" t="s">
        <v>463</v>
      </c>
      <c r="C9" s="102">
        <v>8.24</v>
      </c>
      <c r="D9" s="102"/>
      <c r="E9" s="126"/>
      <c r="F9" s="209"/>
      <c r="G9" s="213"/>
    </row>
    <row r="10" spans="1:7" ht="15" x14ac:dyDescent="0.25">
      <c r="A10" s="50" t="s">
        <v>1581</v>
      </c>
      <c r="B10" s="98" t="s">
        <v>516</v>
      </c>
      <c r="C10" s="104">
        <v>384</v>
      </c>
      <c r="D10" s="104"/>
      <c r="E10" s="126"/>
      <c r="F10" s="208"/>
      <c r="G10" s="213"/>
    </row>
    <row r="11" spans="1:7" x14ac:dyDescent="0.2">
      <c r="A11" s="50" t="s">
        <v>1295</v>
      </c>
      <c r="B11" s="98" t="s">
        <v>463</v>
      </c>
      <c r="C11" s="102">
        <v>36.450000000000003</v>
      </c>
      <c r="D11" s="102">
        <v>50</v>
      </c>
      <c r="E11" s="102">
        <v>48.01</v>
      </c>
      <c r="F11" s="209"/>
      <c r="G11" s="213"/>
    </row>
    <row r="12" spans="1:7" x14ac:dyDescent="0.2">
      <c r="A12" s="50" t="s">
        <v>1261</v>
      </c>
      <c r="B12" s="98" t="s">
        <v>463</v>
      </c>
      <c r="C12" s="102">
        <v>45.57</v>
      </c>
      <c r="D12" s="102"/>
      <c r="E12" s="102"/>
      <c r="F12" s="209"/>
      <c r="G12" s="213"/>
    </row>
    <row r="13" spans="1:7" ht="15" x14ac:dyDescent="0.25">
      <c r="A13" s="51" t="s">
        <v>1061</v>
      </c>
      <c r="B13" s="98" t="s">
        <v>463</v>
      </c>
      <c r="C13" s="104">
        <v>26</v>
      </c>
      <c r="D13" s="104">
        <v>28</v>
      </c>
      <c r="E13" s="126"/>
      <c r="F13" s="209"/>
      <c r="G13" s="213"/>
    </row>
    <row r="14" spans="1:7" ht="15" x14ac:dyDescent="0.25">
      <c r="A14" s="51" t="s">
        <v>1397</v>
      </c>
      <c r="B14" s="99" t="s">
        <v>463</v>
      </c>
      <c r="C14" s="104">
        <v>33</v>
      </c>
      <c r="D14" s="104"/>
      <c r="E14" s="126"/>
      <c r="F14" s="209"/>
      <c r="G14" s="213"/>
    </row>
    <row r="15" spans="1:7" ht="15" x14ac:dyDescent="0.25">
      <c r="A15" s="51" t="s">
        <v>1460</v>
      </c>
      <c r="B15" s="98" t="s">
        <v>463</v>
      </c>
      <c r="C15" s="104">
        <v>70</v>
      </c>
      <c r="D15" s="131"/>
      <c r="E15" s="126"/>
      <c r="F15" s="209"/>
      <c r="G15" s="213"/>
    </row>
    <row r="16" spans="1:7" ht="15" x14ac:dyDescent="0.25">
      <c r="A16" s="51" t="s">
        <v>1380</v>
      </c>
      <c r="B16" s="99" t="s">
        <v>1381</v>
      </c>
      <c r="C16" s="104">
        <v>23.52</v>
      </c>
      <c r="D16" s="128"/>
      <c r="E16" s="126"/>
      <c r="F16" s="209"/>
      <c r="G16" s="213"/>
    </row>
    <row r="17" spans="1:7" ht="15" x14ac:dyDescent="0.25">
      <c r="A17" s="51" t="s">
        <v>139</v>
      </c>
      <c r="B17" s="99" t="s">
        <v>463</v>
      </c>
      <c r="C17" s="104">
        <v>13.99</v>
      </c>
      <c r="D17" s="104"/>
      <c r="E17" s="163"/>
      <c r="F17" s="209"/>
      <c r="G17" s="213"/>
    </row>
    <row r="18" spans="1:7" x14ac:dyDescent="0.2">
      <c r="A18" s="50" t="s">
        <v>561</v>
      </c>
      <c r="B18" s="98" t="s">
        <v>907</v>
      </c>
      <c r="C18" s="102">
        <v>5.0999999999999996</v>
      </c>
      <c r="D18" s="102">
        <v>125</v>
      </c>
      <c r="E18" s="128"/>
      <c r="F18" s="209"/>
      <c r="G18" s="213"/>
    </row>
    <row r="19" spans="1:7" ht="15" x14ac:dyDescent="0.25">
      <c r="A19" s="51" t="s">
        <v>1398</v>
      </c>
      <c r="B19" s="98" t="s">
        <v>907</v>
      </c>
      <c r="C19" s="104">
        <v>6.5</v>
      </c>
      <c r="D19" s="104"/>
      <c r="E19" s="126"/>
      <c r="F19" s="209"/>
      <c r="G19" s="213"/>
    </row>
    <row r="20" spans="1:7" ht="15" x14ac:dyDescent="0.25">
      <c r="A20" s="51" t="s">
        <v>1403</v>
      </c>
      <c r="B20" s="99" t="s">
        <v>462</v>
      </c>
      <c r="C20" s="104">
        <v>39</v>
      </c>
      <c r="D20" s="104"/>
      <c r="E20" s="126"/>
      <c r="F20" s="209"/>
      <c r="G20" s="213"/>
    </row>
    <row r="21" spans="1:7" x14ac:dyDescent="0.2">
      <c r="A21" s="50" t="s">
        <v>1280</v>
      </c>
      <c r="B21" s="98" t="s">
        <v>516</v>
      </c>
      <c r="C21" s="102">
        <v>53</v>
      </c>
      <c r="D21" s="102">
        <v>58</v>
      </c>
      <c r="E21" s="102"/>
      <c r="F21" s="209"/>
      <c r="G21" s="213"/>
    </row>
    <row r="22" spans="1:7" x14ac:dyDescent="0.2">
      <c r="A22" s="50" t="s">
        <v>1281</v>
      </c>
      <c r="B22" s="98" t="s">
        <v>516</v>
      </c>
      <c r="C22" s="102">
        <v>88</v>
      </c>
      <c r="D22" s="102">
        <v>78</v>
      </c>
      <c r="E22" s="102"/>
      <c r="F22" s="209"/>
      <c r="G22" s="213"/>
    </row>
    <row r="23" spans="1:7" x14ac:dyDescent="0.2">
      <c r="A23" s="50" t="s">
        <v>1468</v>
      </c>
      <c r="B23" s="98" t="s">
        <v>516</v>
      </c>
      <c r="C23" s="102">
        <v>78</v>
      </c>
      <c r="D23" s="102"/>
      <c r="E23" s="102"/>
      <c r="F23" s="209"/>
      <c r="G23" s="213"/>
    </row>
    <row r="24" spans="1:7" x14ac:dyDescent="0.2">
      <c r="A24" s="50" t="s">
        <v>607</v>
      </c>
      <c r="B24" s="98" t="s">
        <v>1307</v>
      </c>
      <c r="C24" s="102">
        <v>7</v>
      </c>
      <c r="D24" s="102"/>
      <c r="E24" s="102"/>
      <c r="F24" s="209"/>
      <c r="G24" s="213"/>
    </row>
    <row r="25" spans="1:7" ht="15" x14ac:dyDescent="0.25">
      <c r="A25" s="51" t="s">
        <v>607</v>
      </c>
      <c r="B25" s="99" t="s">
        <v>496</v>
      </c>
      <c r="C25" s="104">
        <v>19</v>
      </c>
      <c r="D25" s="104"/>
      <c r="E25" s="163"/>
      <c r="F25" s="209"/>
      <c r="G25" s="213"/>
    </row>
    <row r="26" spans="1:7" x14ac:dyDescent="0.2">
      <c r="A26" s="50" t="s">
        <v>1215</v>
      </c>
      <c r="B26" s="98" t="s">
        <v>462</v>
      </c>
      <c r="C26" s="102">
        <v>27</v>
      </c>
      <c r="D26" s="102"/>
      <c r="E26" s="128"/>
      <c r="F26" s="209"/>
      <c r="G26" s="213"/>
    </row>
    <row r="27" spans="1:7" x14ac:dyDescent="0.2">
      <c r="A27" s="50" t="s">
        <v>608</v>
      </c>
      <c r="B27" s="98" t="s">
        <v>1308</v>
      </c>
      <c r="C27" s="102">
        <v>8.9700000000000006</v>
      </c>
      <c r="D27" s="102"/>
      <c r="E27" s="102"/>
      <c r="F27" s="209"/>
      <c r="G27" s="213"/>
    </row>
    <row r="28" spans="1:7" x14ac:dyDescent="0.2">
      <c r="A28" s="50" t="s">
        <v>1282</v>
      </c>
      <c r="B28" s="98" t="s">
        <v>496</v>
      </c>
      <c r="C28" s="102">
        <v>21</v>
      </c>
      <c r="D28" s="102"/>
      <c r="E28" s="102"/>
      <c r="F28" s="209"/>
      <c r="G28" s="213"/>
    </row>
    <row r="29" spans="1:7" ht="15" x14ac:dyDescent="0.25">
      <c r="A29" s="51" t="s">
        <v>1382</v>
      </c>
      <c r="B29" s="99" t="s">
        <v>463</v>
      </c>
      <c r="C29" s="104">
        <v>35</v>
      </c>
      <c r="D29" s="104"/>
      <c r="E29" s="126"/>
      <c r="F29" s="209"/>
      <c r="G29" s="213"/>
    </row>
    <row r="30" spans="1:7" ht="15" x14ac:dyDescent="0.25">
      <c r="A30" s="51" t="s">
        <v>1337</v>
      </c>
      <c r="B30" s="99" t="s">
        <v>463</v>
      </c>
      <c r="C30" s="102">
        <v>20.58</v>
      </c>
      <c r="D30" s="102"/>
      <c r="E30" s="126"/>
      <c r="F30" s="209"/>
      <c r="G30" s="213"/>
    </row>
    <row r="31" spans="1:7" ht="15" x14ac:dyDescent="0.25">
      <c r="A31" s="51" t="s">
        <v>1425</v>
      </c>
      <c r="B31" s="99" t="s">
        <v>462</v>
      </c>
      <c r="C31" s="104">
        <v>22</v>
      </c>
      <c r="D31" s="104"/>
      <c r="E31" s="126"/>
      <c r="F31" s="209"/>
      <c r="G31" s="213"/>
    </row>
    <row r="32" spans="1:7" ht="15" x14ac:dyDescent="0.25">
      <c r="A32" s="51" t="s">
        <v>51</v>
      </c>
      <c r="B32" s="99" t="s">
        <v>463</v>
      </c>
      <c r="C32" s="104">
        <v>19.11</v>
      </c>
      <c r="D32" s="104"/>
      <c r="E32" s="126"/>
      <c r="F32" s="209"/>
      <c r="G32" s="213"/>
    </row>
    <row r="33" spans="1:7" ht="15" x14ac:dyDescent="0.25">
      <c r="A33" s="51" t="s">
        <v>1338</v>
      </c>
      <c r="B33" s="99" t="s">
        <v>1339</v>
      </c>
      <c r="C33" s="102">
        <v>4.8</v>
      </c>
      <c r="D33" s="102"/>
      <c r="E33" s="126"/>
      <c r="F33" s="209"/>
      <c r="G33" s="213"/>
    </row>
    <row r="34" spans="1:7" ht="15" x14ac:dyDescent="0.25">
      <c r="A34" s="51" t="s">
        <v>1336</v>
      </c>
      <c r="B34" s="99" t="s">
        <v>1435</v>
      </c>
      <c r="C34" s="102">
        <v>3.28</v>
      </c>
      <c r="D34" s="102"/>
      <c r="E34" s="126"/>
      <c r="F34" s="209"/>
      <c r="G34" s="213"/>
    </row>
    <row r="35" spans="1:7" ht="15" x14ac:dyDescent="0.25">
      <c r="A35" s="51" t="s">
        <v>1336</v>
      </c>
      <c r="B35" s="99" t="s">
        <v>1286</v>
      </c>
      <c r="C35" s="102">
        <v>6.5</v>
      </c>
      <c r="D35" s="102"/>
      <c r="E35" s="126"/>
      <c r="F35" s="209"/>
      <c r="G35" s="213"/>
    </row>
    <row r="36" spans="1:7" ht="15" x14ac:dyDescent="0.25">
      <c r="A36" s="51" t="s">
        <v>1399</v>
      </c>
      <c r="B36" s="99" t="s">
        <v>1381</v>
      </c>
      <c r="C36" s="104">
        <v>19</v>
      </c>
      <c r="D36" s="104"/>
      <c r="E36" s="126"/>
      <c r="F36" s="209"/>
      <c r="G36" s="213"/>
    </row>
    <row r="37" spans="1:7" ht="15" x14ac:dyDescent="0.25">
      <c r="A37" s="51" t="s">
        <v>1446</v>
      </c>
      <c r="B37" s="99" t="s">
        <v>463</v>
      </c>
      <c r="C37" s="104">
        <v>50</v>
      </c>
      <c r="D37" s="104"/>
      <c r="E37" s="163"/>
      <c r="F37" s="209"/>
      <c r="G37" s="213"/>
    </row>
    <row r="38" spans="1:7" x14ac:dyDescent="0.2">
      <c r="A38" s="50" t="s">
        <v>783</v>
      </c>
      <c r="B38" s="98" t="s">
        <v>463</v>
      </c>
      <c r="C38" s="102">
        <v>26</v>
      </c>
      <c r="D38" s="102"/>
      <c r="F38" s="209"/>
      <c r="G38" s="213"/>
    </row>
    <row r="39" spans="1:7" ht="15" x14ac:dyDescent="0.25">
      <c r="A39" s="50" t="s">
        <v>1565</v>
      </c>
      <c r="B39" s="99" t="s">
        <v>463</v>
      </c>
      <c r="C39" s="104">
        <v>30</v>
      </c>
      <c r="D39" s="104"/>
      <c r="E39" s="126"/>
      <c r="F39" s="209"/>
      <c r="G39" s="213"/>
    </row>
    <row r="40" spans="1:7" ht="15" x14ac:dyDescent="0.25">
      <c r="A40" s="51" t="s">
        <v>1340</v>
      </c>
      <c r="B40" s="99" t="s">
        <v>1022</v>
      </c>
      <c r="C40" s="102">
        <v>16</v>
      </c>
      <c r="D40" s="162"/>
      <c r="E40" s="126"/>
      <c r="F40" s="209"/>
      <c r="G40" s="213"/>
    </row>
    <row r="41" spans="1:7" x14ac:dyDescent="0.2">
      <c r="A41" s="50" t="s">
        <v>1216</v>
      </c>
      <c r="B41" s="98" t="s">
        <v>1310</v>
      </c>
      <c r="C41" s="102">
        <v>15</v>
      </c>
      <c r="D41" s="128"/>
      <c r="E41" s="102"/>
      <c r="F41" s="209"/>
      <c r="G41" s="213"/>
    </row>
    <row r="42" spans="1:7" ht="15" x14ac:dyDescent="0.25">
      <c r="A42" s="50" t="s">
        <v>909</v>
      </c>
      <c r="B42" s="98" t="s">
        <v>463</v>
      </c>
      <c r="C42" s="104">
        <v>30.4</v>
      </c>
      <c r="D42" s="104"/>
      <c r="E42" s="126"/>
      <c r="F42" s="209"/>
      <c r="G42" s="213"/>
    </row>
    <row r="43" spans="1:7" ht="15" x14ac:dyDescent="0.25">
      <c r="A43" s="50" t="s">
        <v>1400</v>
      </c>
      <c r="B43" s="98" t="s">
        <v>463</v>
      </c>
      <c r="C43" s="104">
        <v>13</v>
      </c>
      <c r="D43" s="104"/>
      <c r="E43" s="126"/>
      <c r="F43" s="209"/>
      <c r="G43" s="213"/>
    </row>
    <row r="44" spans="1:7" x14ac:dyDescent="0.2">
      <c r="A44" s="50" t="s">
        <v>1264</v>
      </c>
      <c r="B44" s="98" t="s">
        <v>462</v>
      </c>
      <c r="C44" s="102">
        <v>43.01</v>
      </c>
      <c r="D44" s="162"/>
      <c r="E44" s="102"/>
      <c r="F44" s="209"/>
      <c r="G44" s="213"/>
    </row>
    <row r="45" spans="1:7" x14ac:dyDescent="0.2">
      <c r="A45" s="50" t="s">
        <v>908</v>
      </c>
      <c r="B45" s="98" t="s">
        <v>463</v>
      </c>
      <c r="C45" s="102">
        <v>13</v>
      </c>
      <c r="D45" s="128"/>
      <c r="E45" s="162"/>
      <c r="F45" s="209"/>
      <c r="G45" s="213"/>
    </row>
    <row r="46" spans="1:7" x14ac:dyDescent="0.2">
      <c r="A46" s="50" t="s">
        <v>1263</v>
      </c>
      <c r="B46" s="98" t="s">
        <v>462</v>
      </c>
      <c r="C46" s="102">
        <v>26</v>
      </c>
      <c r="D46" s="102"/>
      <c r="E46" s="128"/>
      <c r="F46" s="209"/>
      <c r="G46" s="213"/>
    </row>
    <row r="47" spans="1:7" x14ac:dyDescent="0.2">
      <c r="A47" s="50" t="s">
        <v>1262</v>
      </c>
      <c r="B47" s="98" t="s">
        <v>462</v>
      </c>
      <c r="C47" s="102">
        <v>18.29</v>
      </c>
      <c r="D47" s="102"/>
      <c r="E47" s="102"/>
      <c r="F47" s="209"/>
      <c r="G47" s="213"/>
    </row>
    <row r="48" spans="1:7" ht="15" x14ac:dyDescent="0.25">
      <c r="A48" s="51" t="s">
        <v>1476</v>
      </c>
      <c r="B48" s="98" t="s">
        <v>463</v>
      </c>
      <c r="C48" s="104">
        <v>21</v>
      </c>
      <c r="D48" s="104"/>
      <c r="E48" s="126"/>
      <c r="F48" s="209"/>
      <c r="G48" s="213"/>
    </row>
    <row r="49" spans="1:7" x14ac:dyDescent="0.2">
      <c r="A49" s="50" t="s">
        <v>1296</v>
      </c>
      <c r="B49" s="98" t="s">
        <v>942</v>
      </c>
      <c r="C49" s="102">
        <v>45</v>
      </c>
      <c r="D49" s="102"/>
      <c r="E49" s="102"/>
      <c r="F49" s="209"/>
      <c r="G49" s="213"/>
    </row>
    <row r="50" spans="1:7" ht="15" x14ac:dyDescent="0.25">
      <c r="A50" s="51" t="s">
        <v>1296</v>
      </c>
      <c r="B50" s="99" t="s">
        <v>1413</v>
      </c>
      <c r="C50" s="104">
        <v>12</v>
      </c>
      <c r="D50" s="104"/>
      <c r="E50" s="126"/>
      <c r="F50" s="209"/>
      <c r="G50" s="213"/>
    </row>
    <row r="51" spans="1:7" x14ac:dyDescent="0.2">
      <c r="A51" s="51" t="s">
        <v>1478</v>
      </c>
      <c r="B51" s="98">
        <v>120</v>
      </c>
      <c r="C51" s="102">
        <v>105</v>
      </c>
      <c r="D51" s="162"/>
      <c r="E51" s="102"/>
      <c r="F51" s="209"/>
      <c r="G51" s="213"/>
    </row>
    <row r="52" spans="1:7" x14ac:dyDescent="0.2">
      <c r="A52" s="50" t="s">
        <v>1265</v>
      </c>
      <c r="B52" s="98" t="s">
        <v>1309</v>
      </c>
      <c r="C52" s="102">
        <v>11.5</v>
      </c>
      <c r="E52" s="102"/>
      <c r="F52" s="209"/>
      <c r="G52" s="213"/>
    </row>
    <row r="53" spans="1:7" x14ac:dyDescent="0.2">
      <c r="A53" s="50" t="s">
        <v>1297</v>
      </c>
      <c r="B53" s="98" t="s">
        <v>1435</v>
      </c>
      <c r="C53" s="102">
        <v>3.3</v>
      </c>
      <c r="D53" s="128"/>
      <c r="E53" s="102"/>
      <c r="F53" s="209"/>
      <c r="G53" s="213"/>
    </row>
    <row r="54" spans="1:7" x14ac:dyDescent="0.2">
      <c r="A54" s="50" t="s">
        <v>1297</v>
      </c>
      <c r="B54" s="98" t="s">
        <v>1312</v>
      </c>
      <c r="C54" s="102">
        <v>4</v>
      </c>
      <c r="D54" s="102"/>
      <c r="E54" s="102"/>
      <c r="F54" s="209"/>
      <c r="G54" s="213"/>
    </row>
    <row r="55" spans="1:7" x14ac:dyDescent="0.2">
      <c r="A55" s="50" t="s">
        <v>1461</v>
      </c>
      <c r="B55" s="98" t="s">
        <v>1435</v>
      </c>
      <c r="C55" s="102">
        <v>3.3</v>
      </c>
      <c r="D55" s="102"/>
      <c r="E55" s="102"/>
      <c r="F55" s="209"/>
      <c r="G55" s="213"/>
    </row>
    <row r="56" spans="1:7" x14ac:dyDescent="0.2">
      <c r="A56" s="50" t="s">
        <v>1494</v>
      </c>
      <c r="B56" s="98">
        <v>1</v>
      </c>
      <c r="C56" s="102">
        <v>56</v>
      </c>
      <c r="D56" s="162"/>
      <c r="E56" s="102"/>
      <c r="F56" s="209"/>
      <c r="G56" s="213"/>
    </row>
    <row r="57" spans="1:7" ht="15" x14ac:dyDescent="0.25">
      <c r="A57" s="51" t="s">
        <v>1326</v>
      </c>
      <c r="B57" s="98">
        <v>40</v>
      </c>
      <c r="C57" s="102">
        <v>15.4</v>
      </c>
      <c r="D57" s="128"/>
      <c r="E57" s="126"/>
      <c r="F57" s="209"/>
      <c r="G57" s="213"/>
    </row>
    <row r="58" spans="1:7" x14ac:dyDescent="0.2">
      <c r="A58" s="50" t="s">
        <v>1249</v>
      </c>
      <c r="B58" s="98" t="s">
        <v>1286</v>
      </c>
      <c r="C58" s="102">
        <v>2.6</v>
      </c>
      <c r="D58" s="102"/>
      <c r="E58" s="102"/>
      <c r="F58" s="209"/>
      <c r="G58" s="213"/>
    </row>
    <row r="59" spans="1:7" ht="15" x14ac:dyDescent="0.25">
      <c r="A59" s="51" t="s">
        <v>1341</v>
      </c>
      <c r="B59" s="99">
        <v>1</v>
      </c>
      <c r="C59" s="102">
        <v>38</v>
      </c>
      <c r="D59" s="102">
        <v>45</v>
      </c>
      <c r="E59" s="126"/>
      <c r="F59" s="209"/>
      <c r="G59" s="213"/>
    </row>
    <row r="60" spans="1:7" ht="15" x14ac:dyDescent="0.25">
      <c r="A60" s="50" t="s">
        <v>1582</v>
      </c>
      <c r="B60" s="98" t="s">
        <v>917</v>
      </c>
      <c r="C60" s="104">
        <v>8</v>
      </c>
      <c r="D60" s="104"/>
      <c r="E60" s="126"/>
      <c r="F60" s="208"/>
      <c r="G60" s="213"/>
    </row>
    <row r="61" spans="1:7" ht="15" x14ac:dyDescent="0.25">
      <c r="A61" s="50" t="s">
        <v>1610</v>
      </c>
      <c r="B61" s="98" t="s">
        <v>1611</v>
      </c>
      <c r="C61" s="104">
        <v>45</v>
      </c>
      <c r="D61" s="104"/>
      <c r="E61" s="126"/>
      <c r="F61" s="208"/>
      <c r="G61" s="213"/>
    </row>
    <row r="62" spans="1:7" ht="15" x14ac:dyDescent="0.25">
      <c r="A62" s="50" t="s">
        <v>1612</v>
      </c>
      <c r="B62" s="98" t="s">
        <v>1503</v>
      </c>
      <c r="C62" s="104">
        <v>214.94</v>
      </c>
      <c r="D62" s="104"/>
      <c r="E62" s="126"/>
      <c r="F62" s="208"/>
      <c r="G62" s="213"/>
    </row>
    <row r="63" spans="1:7" x14ac:dyDescent="0.2">
      <c r="A63" s="50" t="s">
        <v>1502</v>
      </c>
      <c r="B63" s="98" t="s">
        <v>1503</v>
      </c>
      <c r="C63" s="102">
        <v>210</v>
      </c>
      <c r="D63" s="102"/>
      <c r="E63" s="102"/>
      <c r="F63" s="209"/>
      <c r="G63" s="213"/>
    </row>
    <row r="64" spans="1:7" x14ac:dyDescent="0.2">
      <c r="A64" s="50" t="s">
        <v>1566</v>
      </c>
      <c r="B64" s="98" t="s">
        <v>463</v>
      </c>
      <c r="C64" s="102">
        <v>18</v>
      </c>
      <c r="D64" s="102"/>
      <c r="E64" s="102"/>
      <c r="F64" s="209"/>
      <c r="G64" s="213"/>
    </row>
    <row r="65" spans="1:7" ht="15" x14ac:dyDescent="0.25">
      <c r="A65" s="50" t="s">
        <v>911</v>
      </c>
      <c r="B65" s="98">
        <v>1</v>
      </c>
      <c r="C65" s="104">
        <v>16</v>
      </c>
      <c r="D65" s="104"/>
      <c r="E65" s="126"/>
      <c r="F65" s="209"/>
      <c r="G65" s="213"/>
    </row>
    <row r="66" spans="1:7" ht="15" x14ac:dyDescent="0.25">
      <c r="A66" s="51" t="s">
        <v>1462</v>
      </c>
      <c r="B66" s="99" t="s">
        <v>1463</v>
      </c>
      <c r="C66" s="102">
        <v>6.2</v>
      </c>
      <c r="D66" s="102"/>
      <c r="E66" s="126"/>
      <c r="F66" s="209"/>
      <c r="G66" s="213"/>
    </row>
    <row r="67" spans="1:7" ht="15" x14ac:dyDescent="0.25">
      <c r="A67" s="51" t="s">
        <v>1510</v>
      </c>
      <c r="B67" s="99" t="s">
        <v>917</v>
      </c>
      <c r="C67" s="102">
        <v>6</v>
      </c>
      <c r="D67" s="102"/>
      <c r="E67" s="126"/>
      <c r="F67" s="209"/>
      <c r="G67" s="213"/>
    </row>
    <row r="68" spans="1:7" ht="15" x14ac:dyDescent="0.25">
      <c r="A68" s="51" t="s">
        <v>1377</v>
      </c>
      <c r="B68" s="98" t="s">
        <v>1404</v>
      </c>
      <c r="C68" s="104">
        <v>17</v>
      </c>
      <c r="D68" s="131">
        <v>19</v>
      </c>
      <c r="E68" s="126"/>
      <c r="F68" s="209"/>
      <c r="G68" s="213"/>
    </row>
    <row r="69" spans="1:7" ht="15" x14ac:dyDescent="0.25">
      <c r="A69" s="51" t="s">
        <v>1377</v>
      </c>
      <c r="B69" s="99" t="s">
        <v>496</v>
      </c>
      <c r="C69" s="104">
        <v>17</v>
      </c>
      <c r="D69" s="104"/>
      <c r="E69" s="126"/>
      <c r="F69" s="209"/>
      <c r="G69" s="213"/>
    </row>
    <row r="70" spans="1:7" x14ac:dyDescent="0.2">
      <c r="A70" s="51" t="s">
        <v>1368</v>
      </c>
      <c r="B70" s="99" t="s">
        <v>496</v>
      </c>
      <c r="C70" s="104">
        <v>25</v>
      </c>
      <c r="E70" s="104"/>
      <c r="F70" s="209"/>
      <c r="G70" s="213"/>
    </row>
    <row r="71" spans="1:7" x14ac:dyDescent="0.2">
      <c r="A71" s="50" t="s">
        <v>1218</v>
      </c>
      <c r="B71" s="98" t="s">
        <v>646</v>
      </c>
      <c r="C71" s="102">
        <v>11.5</v>
      </c>
      <c r="D71" s="102"/>
      <c r="E71" s="102"/>
      <c r="F71" s="209"/>
      <c r="G71" s="213"/>
    </row>
    <row r="72" spans="1:7" x14ac:dyDescent="0.2">
      <c r="A72" s="50" t="s">
        <v>1219</v>
      </c>
      <c r="B72" s="98" t="s">
        <v>463</v>
      </c>
      <c r="C72" s="102">
        <v>19</v>
      </c>
      <c r="D72" s="128"/>
      <c r="E72" s="102"/>
      <c r="F72" s="131"/>
      <c r="G72" s="213"/>
    </row>
    <row r="73" spans="1:7" x14ac:dyDescent="0.2">
      <c r="A73" s="50" t="s">
        <v>750</v>
      </c>
      <c r="B73" s="98" t="s">
        <v>1293</v>
      </c>
      <c r="C73" s="102">
        <v>23</v>
      </c>
      <c r="D73" s="162"/>
      <c r="E73" s="102"/>
      <c r="F73" s="209"/>
      <c r="G73" s="213"/>
    </row>
    <row r="74" spans="1:7" x14ac:dyDescent="0.2">
      <c r="A74" s="51" t="s">
        <v>1394</v>
      </c>
      <c r="B74" s="99" t="s">
        <v>462</v>
      </c>
      <c r="C74" s="104">
        <v>74.959999999999994</v>
      </c>
      <c r="D74" s="102"/>
      <c r="E74" s="102"/>
      <c r="F74" s="210"/>
      <c r="G74" s="213"/>
    </row>
    <row r="75" spans="1:7" ht="15" x14ac:dyDescent="0.25">
      <c r="A75" s="50" t="s">
        <v>1583</v>
      </c>
      <c r="B75" s="98" t="s">
        <v>1331</v>
      </c>
      <c r="C75" s="131">
        <v>23.5</v>
      </c>
      <c r="D75" s="104"/>
      <c r="E75" s="126"/>
      <c r="F75" s="208"/>
      <c r="G75" s="213"/>
    </row>
    <row r="76" spans="1:7" x14ac:dyDescent="0.2">
      <c r="A76" s="50" t="s">
        <v>1220</v>
      </c>
      <c r="B76" s="98" t="s">
        <v>463</v>
      </c>
      <c r="C76" s="102">
        <v>23.5</v>
      </c>
      <c r="D76" s="128">
        <v>20</v>
      </c>
      <c r="E76" s="102"/>
      <c r="F76" s="209"/>
      <c r="G76" s="213"/>
    </row>
    <row r="77" spans="1:7" ht="15" x14ac:dyDescent="0.25">
      <c r="A77" s="51" t="s">
        <v>1359</v>
      </c>
      <c r="B77" s="99" t="s">
        <v>1360</v>
      </c>
      <c r="C77" s="104">
        <v>5.5</v>
      </c>
      <c r="D77" s="104">
        <v>6.5</v>
      </c>
      <c r="E77" s="126"/>
      <c r="F77" s="209"/>
      <c r="G77" s="213"/>
    </row>
    <row r="78" spans="1:7" x14ac:dyDescent="0.2">
      <c r="A78" s="50" t="s">
        <v>1283</v>
      </c>
      <c r="B78" s="98" t="s">
        <v>496</v>
      </c>
      <c r="C78" s="179">
        <v>58</v>
      </c>
      <c r="D78" s="102"/>
      <c r="E78" s="102"/>
      <c r="F78" s="209"/>
      <c r="G78" s="213"/>
    </row>
    <row r="79" spans="1:7" x14ac:dyDescent="0.2">
      <c r="A79" s="50" t="s">
        <v>912</v>
      </c>
      <c r="B79" s="98" t="s">
        <v>496</v>
      </c>
      <c r="C79" s="102">
        <v>51</v>
      </c>
      <c r="D79" s="102"/>
      <c r="E79" s="102"/>
      <c r="F79" s="209"/>
      <c r="G79" s="213"/>
    </row>
    <row r="80" spans="1:7" x14ac:dyDescent="0.2">
      <c r="A80" s="50" t="s">
        <v>1298</v>
      </c>
      <c r="B80" s="98" t="s">
        <v>1044</v>
      </c>
      <c r="C80" s="102">
        <v>13</v>
      </c>
      <c r="D80" s="102"/>
      <c r="E80" s="102"/>
      <c r="F80" s="209"/>
      <c r="G80" s="213"/>
    </row>
    <row r="81" spans="1:7" ht="15" x14ac:dyDescent="0.25">
      <c r="A81" s="50" t="s">
        <v>913</v>
      </c>
      <c r="B81" s="98" t="s">
        <v>463</v>
      </c>
      <c r="C81" s="104">
        <v>15</v>
      </c>
      <c r="D81" s="104"/>
      <c r="E81" s="126"/>
      <c r="F81" s="209"/>
      <c r="G81" s="213"/>
    </row>
    <row r="82" spans="1:7" x14ac:dyDescent="0.2">
      <c r="A82" s="50" t="s">
        <v>691</v>
      </c>
      <c r="B82" s="98" t="s">
        <v>463</v>
      </c>
      <c r="C82" s="102">
        <v>45.72</v>
      </c>
      <c r="D82" s="102"/>
      <c r="E82" s="102"/>
      <c r="F82" s="209"/>
      <c r="G82" s="213"/>
    </row>
    <row r="83" spans="1:7" ht="15" x14ac:dyDescent="0.25">
      <c r="A83" s="51" t="s">
        <v>1361</v>
      </c>
      <c r="B83" s="99">
        <v>1</v>
      </c>
      <c r="C83" s="104">
        <v>21</v>
      </c>
      <c r="D83" s="104"/>
      <c r="E83" s="126"/>
      <c r="F83" s="209"/>
      <c r="G83" s="213"/>
    </row>
    <row r="84" spans="1:7" ht="15" x14ac:dyDescent="0.25">
      <c r="A84" s="50" t="s">
        <v>1447</v>
      </c>
      <c r="B84" s="98">
        <v>1</v>
      </c>
      <c r="C84" s="104">
        <v>26</v>
      </c>
      <c r="D84" s="104"/>
      <c r="E84" s="126"/>
      <c r="F84" s="209"/>
      <c r="G84" s="213"/>
    </row>
    <row r="85" spans="1:7" ht="15" x14ac:dyDescent="0.25">
      <c r="A85" s="50" t="s">
        <v>1436</v>
      </c>
      <c r="B85" s="98" t="s">
        <v>462</v>
      </c>
      <c r="C85" s="104">
        <v>67</v>
      </c>
      <c r="D85" s="104"/>
      <c r="E85" s="126"/>
      <c r="F85" s="209"/>
      <c r="G85" s="213"/>
    </row>
    <row r="86" spans="1:7" ht="15" x14ac:dyDescent="0.25">
      <c r="A86" s="50" t="s">
        <v>1504</v>
      </c>
      <c r="B86" s="98" t="s">
        <v>1505</v>
      </c>
      <c r="C86" s="104">
        <v>18</v>
      </c>
      <c r="D86" s="104"/>
      <c r="E86" s="126"/>
      <c r="F86" s="209"/>
      <c r="G86" s="213"/>
    </row>
    <row r="87" spans="1:7" x14ac:dyDescent="0.2">
      <c r="A87" s="50" t="s">
        <v>1023</v>
      </c>
      <c r="B87" s="98" t="s">
        <v>1022</v>
      </c>
      <c r="C87" s="102">
        <v>8.9</v>
      </c>
      <c r="D87" s="102">
        <v>8.8000000000000007</v>
      </c>
      <c r="E87" s="102"/>
      <c r="F87" s="209"/>
      <c r="G87" s="213"/>
    </row>
    <row r="88" spans="1:7" ht="15" x14ac:dyDescent="0.25">
      <c r="A88" s="51" t="s">
        <v>1388</v>
      </c>
      <c r="B88" s="99" t="s">
        <v>496</v>
      </c>
      <c r="C88" s="104">
        <v>33.81</v>
      </c>
      <c r="D88" s="131"/>
      <c r="E88" s="126"/>
      <c r="F88" s="209"/>
      <c r="G88" s="213"/>
    </row>
    <row r="89" spans="1:7" x14ac:dyDescent="0.2">
      <c r="A89" s="50" t="s">
        <v>1267</v>
      </c>
      <c r="B89" s="98" t="s">
        <v>463</v>
      </c>
      <c r="C89" s="102">
        <v>21</v>
      </c>
      <c r="D89" s="162"/>
      <c r="E89" s="102"/>
      <c r="F89" s="209"/>
      <c r="G89" s="213"/>
    </row>
    <row r="90" spans="1:7" x14ac:dyDescent="0.2">
      <c r="A90" s="50" t="s">
        <v>1464</v>
      </c>
      <c r="B90" s="98">
        <v>24</v>
      </c>
      <c r="C90" s="102">
        <v>24.89</v>
      </c>
      <c r="D90" s="102"/>
      <c r="E90" s="102"/>
      <c r="F90" s="209"/>
      <c r="G90" s="213"/>
    </row>
    <row r="91" spans="1:7" x14ac:dyDescent="0.2">
      <c r="A91" s="50" t="s">
        <v>1251</v>
      </c>
      <c r="B91" s="98">
        <v>24</v>
      </c>
      <c r="C91" s="102">
        <v>22.71</v>
      </c>
      <c r="D91" s="128"/>
      <c r="E91" s="102"/>
      <c r="F91" s="209"/>
      <c r="G91" s="213"/>
    </row>
    <row r="92" spans="1:7" x14ac:dyDescent="0.2">
      <c r="A92" s="50" t="s">
        <v>1250</v>
      </c>
      <c r="B92" s="98">
        <v>24</v>
      </c>
      <c r="C92" s="102">
        <v>24.89</v>
      </c>
      <c r="E92" s="102"/>
      <c r="F92" s="209"/>
      <c r="G92" s="213"/>
    </row>
    <row r="93" spans="1:7" x14ac:dyDescent="0.2">
      <c r="A93" s="50" t="s">
        <v>1285</v>
      </c>
      <c r="B93" s="98" t="s">
        <v>463</v>
      </c>
      <c r="C93" s="102">
        <v>18.010000000000002</v>
      </c>
      <c r="D93" s="102"/>
      <c r="E93" s="102"/>
      <c r="F93" s="209"/>
      <c r="G93" s="213"/>
    </row>
    <row r="94" spans="1:7" ht="15" x14ac:dyDescent="0.25">
      <c r="A94" s="51" t="s">
        <v>1383</v>
      </c>
      <c r="B94" s="99" t="s">
        <v>463</v>
      </c>
      <c r="C94" s="104">
        <v>20.43</v>
      </c>
      <c r="D94" s="104"/>
      <c r="E94" s="126"/>
      <c r="F94" s="209"/>
      <c r="G94" s="213"/>
    </row>
    <row r="95" spans="1:7" x14ac:dyDescent="0.2">
      <c r="A95" s="50" t="s">
        <v>1222</v>
      </c>
      <c r="B95" s="98" t="s">
        <v>462</v>
      </c>
      <c r="C95" s="102">
        <v>73</v>
      </c>
      <c r="D95" s="128">
        <v>80</v>
      </c>
      <c r="E95" s="102"/>
      <c r="F95" s="209"/>
      <c r="G95" s="214">
        <v>72.14</v>
      </c>
    </row>
    <row r="96" spans="1:7" x14ac:dyDescent="0.2">
      <c r="A96" s="50" t="s">
        <v>1469</v>
      </c>
      <c r="B96" s="98" t="s">
        <v>462</v>
      </c>
      <c r="C96" s="102">
        <v>73</v>
      </c>
      <c r="D96" s="102"/>
      <c r="E96" s="102"/>
      <c r="F96" s="209"/>
      <c r="G96" s="213"/>
    </row>
    <row r="97" spans="1:7" x14ac:dyDescent="0.2">
      <c r="A97" s="50" t="s">
        <v>1479</v>
      </c>
      <c r="B97" s="98" t="s">
        <v>1480</v>
      </c>
      <c r="C97" s="102">
        <v>7</v>
      </c>
      <c r="D97" s="102"/>
      <c r="E97" s="102"/>
      <c r="F97" s="209"/>
      <c r="G97" s="213"/>
    </row>
    <row r="98" spans="1:7" ht="15" x14ac:dyDescent="0.25">
      <c r="A98" s="50" t="s">
        <v>1437</v>
      </c>
      <c r="B98" s="98" t="s">
        <v>945</v>
      </c>
      <c r="C98" s="104">
        <v>1.7</v>
      </c>
      <c r="D98" s="104"/>
      <c r="E98" s="126"/>
      <c r="F98" s="209"/>
      <c r="G98" s="213"/>
    </row>
    <row r="99" spans="1:7" x14ac:dyDescent="0.2">
      <c r="A99" s="50" t="s">
        <v>1223</v>
      </c>
      <c r="B99" s="98" t="s">
        <v>646</v>
      </c>
      <c r="C99" s="102">
        <v>11.03</v>
      </c>
      <c r="D99" s="162"/>
      <c r="E99" s="102"/>
      <c r="F99" s="209"/>
      <c r="G99" s="213"/>
    </row>
    <row r="100" spans="1:7" ht="15" x14ac:dyDescent="0.25">
      <c r="A100" s="51" t="s">
        <v>1343</v>
      </c>
      <c r="B100" s="98" t="s">
        <v>1044</v>
      </c>
      <c r="C100" s="102">
        <v>10</v>
      </c>
      <c r="D100" s="102"/>
      <c r="E100" s="126"/>
      <c r="F100" s="209"/>
      <c r="G100" s="213"/>
    </row>
    <row r="101" spans="1:7" ht="15" x14ac:dyDescent="0.25">
      <c r="A101" s="51" t="s">
        <v>1025</v>
      </c>
      <c r="B101" s="98" t="s">
        <v>1019</v>
      </c>
      <c r="C101" s="102">
        <v>13</v>
      </c>
      <c r="D101" s="102"/>
      <c r="E101" s="126"/>
      <c r="F101" s="209"/>
      <c r="G101" s="213"/>
    </row>
    <row r="102" spans="1:7" x14ac:dyDescent="0.2">
      <c r="A102" s="50" t="s">
        <v>1043</v>
      </c>
      <c r="B102" s="98" t="s">
        <v>1042</v>
      </c>
      <c r="C102" s="162">
        <v>16.5</v>
      </c>
      <c r="D102" s="128"/>
      <c r="E102" s="102"/>
      <c r="F102" s="209"/>
      <c r="G102" s="213"/>
    </row>
    <row r="103" spans="1:7" x14ac:dyDescent="0.2">
      <c r="A103" s="50" t="s">
        <v>1395</v>
      </c>
      <c r="B103" s="98" t="s">
        <v>463</v>
      </c>
      <c r="C103" s="102">
        <v>1.48</v>
      </c>
      <c r="D103" s="102">
        <v>1.4</v>
      </c>
      <c r="E103" s="102"/>
      <c r="F103" s="209"/>
      <c r="G103" s="213"/>
    </row>
    <row r="104" spans="1:7" ht="15" x14ac:dyDescent="0.25">
      <c r="A104" s="50" t="s">
        <v>1327</v>
      </c>
      <c r="B104" s="98" t="s">
        <v>907</v>
      </c>
      <c r="C104" s="102">
        <v>40</v>
      </c>
      <c r="D104" s="102">
        <v>45</v>
      </c>
      <c r="E104" s="126"/>
      <c r="F104" s="209"/>
      <c r="G104" s="213"/>
    </row>
    <row r="105" spans="1:7" x14ac:dyDescent="0.2">
      <c r="A105" s="51" t="s">
        <v>781</v>
      </c>
      <c r="B105" s="99" t="s">
        <v>1344</v>
      </c>
      <c r="C105" s="179">
        <v>44.5</v>
      </c>
      <c r="D105" s="102"/>
      <c r="E105" s="102"/>
      <c r="F105" s="209"/>
      <c r="G105" s="213"/>
    </row>
    <row r="106" spans="1:7" ht="15" x14ac:dyDescent="0.25">
      <c r="A106" s="50" t="s">
        <v>1328</v>
      </c>
      <c r="B106" s="98" t="s">
        <v>463</v>
      </c>
      <c r="C106" s="102">
        <v>31.55</v>
      </c>
      <c r="D106" s="102">
        <v>20</v>
      </c>
      <c r="E106" s="126"/>
      <c r="F106" s="209"/>
      <c r="G106" s="213"/>
    </row>
    <row r="107" spans="1:7" ht="15" x14ac:dyDescent="0.25">
      <c r="A107" s="51" t="s">
        <v>1567</v>
      </c>
      <c r="B107" s="98" t="s">
        <v>463</v>
      </c>
      <c r="C107" s="102">
        <v>27.5</v>
      </c>
      <c r="D107" s="102"/>
      <c r="E107" s="126"/>
      <c r="F107" s="209"/>
      <c r="G107" s="213"/>
    </row>
    <row r="108" spans="1:7" ht="15" x14ac:dyDescent="0.25">
      <c r="A108" s="51" t="s">
        <v>1345</v>
      </c>
      <c r="B108" s="99" t="s">
        <v>463</v>
      </c>
      <c r="C108" s="102">
        <v>34.799999999999997</v>
      </c>
      <c r="D108" s="102">
        <v>34</v>
      </c>
      <c r="E108" s="163"/>
      <c r="F108" s="209"/>
      <c r="G108" s="213"/>
    </row>
    <row r="109" spans="1:7" x14ac:dyDescent="0.2">
      <c r="A109" s="50" t="s">
        <v>1027</v>
      </c>
      <c r="B109" s="98" t="s">
        <v>1224</v>
      </c>
      <c r="C109" s="102">
        <v>4.3</v>
      </c>
      <c r="D109" s="102">
        <v>4.74</v>
      </c>
      <c r="E109" s="102"/>
      <c r="F109" s="209"/>
      <c r="G109" s="213"/>
    </row>
    <row r="110" spans="1:7" x14ac:dyDescent="0.2">
      <c r="A110" s="50" t="s">
        <v>1252</v>
      </c>
      <c r="B110" s="98">
        <v>120</v>
      </c>
      <c r="C110" s="102">
        <v>70.56</v>
      </c>
      <c r="D110" s="102"/>
      <c r="E110" s="102"/>
      <c r="F110" s="209"/>
      <c r="G110" s="213"/>
    </row>
    <row r="111" spans="1:7" x14ac:dyDescent="0.2">
      <c r="A111" s="50" t="s">
        <v>665</v>
      </c>
      <c r="B111" s="98" t="s">
        <v>1286</v>
      </c>
      <c r="C111" s="102">
        <v>4.8</v>
      </c>
      <c r="D111" s="102"/>
      <c r="E111" s="128"/>
      <c r="F111" s="209"/>
      <c r="G111" s="213"/>
    </row>
    <row r="112" spans="1:7" ht="15" x14ac:dyDescent="0.25">
      <c r="A112" s="51" t="s">
        <v>1402</v>
      </c>
      <c r="B112" s="99" t="s">
        <v>646</v>
      </c>
      <c r="C112" s="104">
        <v>85</v>
      </c>
      <c r="D112" s="104"/>
      <c r="E112" s="126"/>
      <c r="F112" s="209"/>
      <c r="G112" s="213"/>
    </row>
    <row r="113" spans="1:7" x14ac:dyDescent="0.2">
      <c r="A113" s="50" t="s">
        <v>1448</v>
      </c>
      <c r="B113" s="98" t="s">
        <v>1060</v>
      </c>
      <c r="C113" s="102">
        <v>82</v>
      </c>
      <c r="D113" s="102"/>
      <c r="E113" s="102"/>
      <c r="F113" s="209"/>
      <c r="G113" s="213"/>
    </row>
    <row r="114" spans="1:7" x14ac:dyDescent="0.2">
      <c r="A114" s="51" t="s">
        <v>815</v>
      </c>
      <c r="B114" s="99" t="s">
        <v>1511</v>
      </c>
      <c r="C114" s="102">
        <v>38</v>
      </c>
      <c r="D114" s="162"/>
      <c r="E114" s="102"/>
      <c r="F114" s="209"/>
      <c r="G114" s="213"/>
    </row>
    <row r="115" spans="1:7" ht="15" x14ac:dyDescent="0.25">
      <c r="A115" s="50" t="s">
        <v>1329</v>
      </c>
      <c r="B115" s="98" t="s">
        <v>463</v>
      </c>
      <c r="C115" s="102">
        <v>30</v>
      </c>
      <c r="D115" s="102">
        <v>38.76</v>
      </c>
      <c r="E115" s="126"/>
      <c r="F115" s="209"/>
      <c r="G115" s="213"/>
    </row>
    <row r="116" spans="1:7" ht="15" x14ac:dyDescent="0.25">
      <c r="A116" s="51" t="s">
        <v>1346</v>
      </c>
      <c r="B116" s="99" t="s">
        <v>1347</v>
      </c>
      <c r="C116" s="102">
        <v>41</v>
      </c>
      <c r="D116" s="102"/>
      <c r="E116" s="126"/>
      <c r="F116" s="209"/>
      <c r="G116" s="213"/>
    </row>
    <row r="117" spans="1:7" ht="15" x14ac:dyDescent="0.25">
      <c r="A117" s="51" t="s">
        <v>1348</v>
      </c>
      <c r="B117" s="99" t="s">
        <v>1349</v>
      </c>
      <c r="C117" s="102">
        <v>38</v>
      </c>
      <c r="D117" s="128"/>
      <c r="E117" s="126"/>
      <c r="F117" s="209"/>
      <c r="G117" s="213"/>
    </row>
    <row r="118" spans="1:7" x14ac:dyDescent="0.2">
      <c r="A118" s="50" t="s">
        <v>833</v>
      </c>
      <c r="B118" s="98" t="s">
        <v>463</v>
      </c>
      <c r="C118" s="102">
        <v>38</v>
      </c>
      <c r="D118" s="102"/>
      <c r="E118" s="102"/>
      <c r="F118" s="209"/>
      <c r="G118" s="213"/>
    </row>
    <row r="119" spans="1:7" x14ac:dyDescent="0.2">
      <c r="A119" s="50" t="s">
        <v>914</v>
      </c>
      <c r="B119" s="98" t="s">
        <v>463</v>
      </c>
      <c r="C119" s="102">
        <v>19</v>
      </c>
      <c r="D119" s="102"/>
      <c r="E119" s="102"/>
      <c r="F119" s="209"/>
      <c r="G119" s="213"/>
    </row>
    <row r="120" spans="1:7" x14ac:dyDescent="0.2">
      <c r="A120" s="50" t="s">
        <v>1287</v>
      </c>
      <c r="B120" s="98" t="s">
        <v>463</v>
      </c>
      <c r="C120" s="102">
        <v>32</v>
      </c>
      <c r="D120" s="102"/>
      <c r="E120" s="102"/>
      <c r="F120" s="209"/>
      <c r="G120" s="213"/>
    </row>
    <row r="121" spans="1:7" x14ac:dyDescent="0.2">
      <c r="A121" s="50" t="s">
        <v>1225</v>
      </c>
      <c r="B121" s="98" t="s">
        <v>1226</v>
      </c>
      <c r="C121" s="102">
        <v>140</v>
      </c>
      <c r="D121" s="102"/>
      <c r="E121" s="102"/>
      <c r="F121" s="209"/>
      <c r="G121" s="213"/>
    </row>
    <row r="122" spans="1:7" x14ac:dyDescent="0.2">
      <c r="A122" s="50" t="s">
        <v>1269</v>
      </c>
      <c r="B122" s="98" t="s">
        <v>1270</v>
      </c>
      <c r="C122" s="102">
        <v>2.5</v>
      </c>
      <c r="D122" s="102"/>
      <c r="E122" s="102"/>
      <c r="F122" s="209"/>
      <c r="G122" s="213"/>
    </row>
    <row r="123" spans="1:7" ht="15" x14ac:dyDescent="0.25">
      <c r="A123" s="51" t="s">
        <v>1330</v>
      </c>
      <c r="B123" s="99" t="s">
        <v>1331</v>
      </c>
      <c r="C123" s="102">
        <v>23</v>
      </c>
      <c r="D123" s="102"/>
      <c r="E123" s="126"/>
      <c r="F123" s="209"/>
      <c r="G123" s="213"/>
    </row>
    <row r="124" spans="1:7" x14ac:dyDescent="0.2">
      <c r="A124" s="50" t="s">
        <v>1481</v>
      </c>
      <c r="B124" s="98" t="s">
        <v>463</v>
      </c>
      <c r="C124" s="102">
        <v>9.56</v>
      </c>
      <c r="D124" s="102"/>
      <c r="E124" s="102"/>
      <c r="F124" s="209"/>
      <c r="G124" s="213"/>
    </row>
    <row r="125" spans="1:7" x14ac:dyDescent="0.2">
      <c r="A125" s="50" t="s">
        <v>1271</v>
      </c>
      <c r="B125" s="98" t="s">
        <v>463</v>
      </c>
      <c r="C125" s="102">
        <v>9</v>
      </c>
      <c r="D125" s="102"/>
      <c r="E125" s="102"/>
      <c r="F125" s="209"/>
      <c r="G125" s="213"/>
    </row>
    <row r="126" spans="1:7" x14ac:dyDescent="0.2">
      <c r="A126" s="50" t="s">
        <v>1227</v>
      </c>
      <c r="B126" s="98" t="s">
        <v>463</v>
      </c>
      <c r="C126" s="102">
        <v>4.6500000000000004</v>
      </c>
      <c r="D126" s="102">
        <v>4.2</v>
      </c>
      <c r="E126" s="102"/>
      <c r="F126" s="209"/>
      <c r="G126" s="213"/>
    </row>
    <row r="127" spans="1:7" ht="15" x14ac:dyDescent="0.25">
      <c r="A127" s="51" t="s">
        <v>260</v>
      </c>
      <c r="B127" s="99" t="s">
        <v>1421</v>
      </c>
      <c r="C127" s="104">
        <v>38</v>
      </c>
      <c r="D127" s="104"/>
      <c r="E127" s="126"/>
      <c r="F127" s="209"/>
      <c r="G127" s="213"/>
    </row>
    <row r="128" spans="1:7" ht="15" x14ac:dyDescent="0.25">
      <c r="A128" s="51" t="s">
        <v>1375</v>
      </c>
      <c r="B128" s="99" t="s">
        <v>1376</v>
      </c>
      <c r="C128" s="104">
        <v>14.7</v>
      </c>
      <c r="D128" s="131"/>
      <c r="E128" s="126"/>
      <c r="F128" s="209"/>
      <c r="G128" s="213"/>
    </row>
    <row r="129" spans="1:7" ht="15" x14ac:dyDescent="0.25">
      <c r="A129" s="51" t="s">
        <v>1374</v>
      </c>
      <c r="B129" s="99" t="s">
        <v>462</v>
      </c>
      <c r="C129" s="104">
        <v>135</v>
      </c>
      <c r="D129" s="104">
        <v>155</v>
      </c>
      <c r="E129" s="126"/>
      <c r="F129" s="209"/>
      <c r="G129" s="213"/>
    </row>
    <row r="130" spans="1:7" x14ac:dyDescent="0.2">
      <c r="A130" s="50" t="s">
        <v>1290</v>
      </c>
      <c r="B130" s="98" t="s">
        <v>496</v>
      </c>
      <c r="C130" s="102">
        <v>39.69</v>
      </c>
      <c r="D130" s="102">
        <v>39</v>
      </c>
      <c r="E130" s="102"/>
      <c r="F130" s="209"/>
      <c r="G130" s="213"/>
    </row>
    <row r="131" spans="1:7" ht="15" x14ac:dyDescent="0.25">
      <c r="A131" s="51" t="s">
        <v>1405</v>
      </c>
      <c r="B131" s="99" t="s">
        <v>496</v>
      </c>
      <c r="C131" s="104">
        <v>39</v>
      </c>
      <c r="D131" s="128"/>
      <c r="E131" s="126"/>
      <c r="F131" s="131"/>
      <c r="G131" s="213"/>
    </row>
    <row r="132" spans="1:7" ht="15" x14ac:dyDescent="0.25">
      <c r="A132" s="51" t="s">
        <v>1495</v>
      </c>
      <c r="B132" s="99" t="s">
        <v>646</v>
      </c>
      <c r="C132" s="102">
        <v>60</v>
      </c>
      <c r="D132" s="102"/>
      <c r="E132" s="163"/>
      <c r="F132" s="209"/>
      <c r="G132" s="213"/>
    </row>
    <row r="133" spans="1:7" x14ac:dyDescent="0.2">
      <c r="A133" s="50" t="s">
        <v>790</v>
      </c>
      <c r="B133" s="98" t="s">
        <v>462</v>
      </c>
      <c r="C133" s="102">
        <v>40</v>
      </c>
      <c r="D133" s="162"/>
      <c r="E133" s="102"/>
      <c r="F133" s="209"/>
      <c r="G133" s="213"/>
    </row>
    <row r="134" spans="1:7" x14ac:dyDescent="0.2">
      <c r="A134" s="50" t="s">
        <v>1028</v>
      </c>
      <c r="B134" s="98" t="s">
        <v>1029</v>
      </c>
      <c r="C134" s="104">
        <v>13.79</v>
      </c>
      <c r="D134" s="102"/>
      <c r="E134" s="102"/>
      <c r="F134" s="210"/>
      <c r="G134" s="213"/>
    </row>
    <row r="135" spans="1:7" x14ac:dyDescent="0.2">
      <c r="A135" s="50" t="s">
        <v>1470</v>
      </c>
      <c r="B135" s="98" t="s">
        <v>1471</v>
      </c>
      <c r="C135" s="102">
        <v>20</v>
      </c>
      <c r="D135" s="102"/>
      <c r="E135" s="102"/>
      <c r="F135" s="209"/>
      <c r="G135" s="213"/>
    </row>
    <row r="136" spans="1:7" x14ac:dyDescent="0.2">
      <c r="A136" s="50" t="s">
        <v>1228</v>
      </c>
      <c r="B136" s="98" t="s">
        <v>646</v>
      </c>
      <c r="C136" s="102">
        <v>45</v>
      </c>
      <c r="D136" s="102"/>
      <c r="E136" s="128"/>
      <c r="F136" s="209"/>
      <c r="G136" s="213"/>
    </row>
    <row r="137" spans="1:7" ht="15" x14ac:dyDescent="0.25">
      <c r="A137" s="51" t="s">
        <v>1350</v>
      </c>
      <c r="B137" s="99" t="s">
        <v>646</v>
      </c>
      <c r="C137" s="102">
        <v>48.36</v>
      </c>
      <c r="D137" s="128"/>
      <c r="E137" s="126"/>
      <c r="F137" s="209"/>
      <c r="G137" s="213"/>
    </row>
    <row r="138" spans="1:7" x14ac:dyDescent="0.2">
      <c r="A138" s="50" t="s">
        <v>1291</v>
      </c>
      <c r="B138" s="98" t="s">
        <v>462</v>
      </c>
      <c r="C138" s="102">
        <v>39</v>
      </c>
      <c r="D138" s="102"/>
      <c r="E138" s="102"/>
      <c r="F138" s="209"/>
      <c r="G138" s="213"/>
    </row>
    <row r="139" spans="1:7" x14ac:dyDescent="0.2">
      <c r="A139" s="50" t="s">
        <v>1229</v>
      </c>
      <c r="B139" s="98" t="s">
        <v>462</v>
      </c>
      <c r="C139" s="102">
        <v>38</v>
      </c>
      <c r="D139" s="102">
        <v>42</v>
      </c>
      <c r="E139" s="102"/>
      <c r="F139" s="209"/>
      <c r="G139" s="213"/>
    </row>
    <row r="140" spans="1:7" x14ac:dyDescent="0.2">
      <c r="A140" s="50" t="s">
        <v>1299</v>
      </c>
      <c r="B140" s="98" t="s">
        <v>917</v>
      </c>
      <c r="C140" s="102">
        <v>9.9</v>
      </c>
      <c r="D140" s="102">
        <v>10</v>
      </c>
      <c r="E140" s="102"/>
      <c r="F140" s="209"/>
      <c r="G140" s="213"/>
    </row>
    <row r="141" spans="1:7" x14ac:dyDescent="0.2">
      <c r="A141" s="50" t="s">
        <v>1362</v>
      </c>
      <c r="B141" s="98" t="s">
        <v>757</v>
      </c>
      <c r="C141" s="102">
        <v>7.5</v>
      </c>
      <c r="D141" s="102"/>
      <c r="E141" s="102"/>
      <c r="F141" s="209"/>
      <c r="G141" s="213"/>
    </row>
    <row r="142" spans="1:7" ht="15" x14ac:dyDescent="0.25">
      <c r="A142" s="51" t="s">
        <v>1363</v>
      </c>
      <c r="B142" s="99" t="s">
        <v>757</v>
      </c>
      <c r="C142" s="104">
        <v>8.14</v>
      </c>
      <c r="D142" s="131"/>
      <c r="E142" s="126"/>
      <c r="F142" s="209"/>
      <c r="G142" s="213"/>
    </row>
    <row r="143" spans="1:7" ht="15" x14ac:dyDescent="0.25">
      <c r="A143" s="51" t="s">
        <v>1389</v>
      </c>
      <c r="B143" s="99" t="s">
        <v>917</v>
      </c>
      <c r="C143" s="104">
        <v>8</v>
      </c>
      <c r="D143" s="104">
        <v>7.5</v>
      </c>
      <c r="E143" s="126"/>
      <c r="F143" s="209"/>
      <c r="G143" s="213"/>
    </row>
    <row r="144" spans="1:7" ht="15" x14ac:dyDescent="0.25">
      <c r="A144" s="51" t="s">
        <v>1351</v>
      </c>
      <c r="B144" s="99" t="s">
        <v>496</v>
      </c>
      <c r="C144" s="102">
        <v>35</v>
      </c>
      <c r="D144" s="102">
        <v>50</v>
      </c>
      <c r="E144" s="126"/>
      <c r="F144" s="209"/>
      <c r="G144" s="213"/>
    </row>
    <row r="145" spans="1:7" x14ac:dyDescent="0.2">
      <c r="A145" s="50" t="s">
        <v>1032</v>
      </c>
      <c r="B145" s="98" t="s">
        <v>516</v>
      </c>
      <c r="C145" s="102">
        <v>80</v>
      </c>
      <c r="D145" s="128"/>
      <c r="E145" s="102"/>
      <c r="F145" s="209"/>
      <c r="G145" s="213"/>
    </row>
    <row r="146" spans="1:7" ht="15" x14ac:dyDescent="0.25">
      <c r="A146" s="51" t="s">
        <v>1364</v>
      </c>
      <c r="B146" s="99" t="s">
        <v>496</v>
      </c>
      <c r="C146" s="104">
        <v>23</v>
      </c>
      <c r="D146" s="104">
        <v>22.8</v>
      </c>
      <c r="E146" s="126"/>
      <c r="F146" s="209"/>
      <c r="G146" s="213"/>
    </row>
    <row r="147" spans="1:7" ht="15" x14ac:dyDescent="0.25">
      <c r="A147" s="51" t="s">
        <v>1390</v>
      </c>
      <c r="B147" s="99" t="s">
        <v>1021</v>
      </c>
      <c r="C147" s="104">
        <v>33</v>
      </c>
      <c r="D147" s="104"/>
      <c r="E147" s="126"/>
      <c r="F147" s="209"/>
      <c r="G147" s="213"/>
    </row>
    <row r="148" spans="1:7" ht="15" x14ac:dyDescent="0.25">
      <c r="A148" s="50" t="s">
        <v>1439</v>
      </c>
      <c r="B148" s="98" t="s">
        <v>463</v>
      </c>
      <c r="C148" s="104">
        <v>95</v>
      </c>
      <c r="D148" s="104">
        <v>48.69</v>
      </c>
      <c r="E148" s="126"/>
      <c r="F148" s="209"/>
      <c r="G148" s="213"/>
    </row>
    <row r="149" spans="1:7" ht="15" x14ac:dyDescent="0.25">
      <c r="A149" s="50" t="s">
        <v>1472</v>
      </c>
      <c r="B149" s="98" t="s">
        <v>516</v>
      </c>
      <c r="C149" s="104">
        <v>63</v>
      </c>
      <c r="D149" s="131">
        <v>56</v>
      </c>
      <c r="E149" s="126"/>
      <c r="F149" s="209"/>
      <c r="G149" s="213"/>
    </row>
    <row r="150" spans="1:7" ht="15" x14ac:dyDescent="0.25">
      <c r="A150" s="50" t="s">
        <v>1440</v>
      </c>
      <c r="B150" s="98" t="s">
        <v>1441</v>
      </c>
      <c r="C150" s="104">
        <v>120</v>
      </c>
      <c r="D150" s="131"/>
      <c r="E150" s="126"/>
      <c r="F150" s="209"/>
      <c r="G150" s="213"/>
    </row>
    <row r="151" spans="1:7" ht="15" x14ac:dyDescent="0.25">
      <c r="A151" s="50" t="s">
        <v>1512</v>
      </c>
      <c r="B151" s="98" t="s">
        <v>463</v>
      </c>
      <c r="C151" s="104">
        <v>50</v>
      </c>
      <c r="D151" s="131"/>
      <c r="E151" s="126"/>
      <c r="F151" s="209"/>
      <c r="G151" s="213"/>
    </row>
    <row r="152" spans="1:7" ht="15" x14ac:dyDescent="0.25">
      <c r="A152" s="50" t="s">
        <v>567</v>
      </c>
      <c r="B152" s="98" t="s">
        <v>463</v>
      </c>
      <c r="C152" s="104">
        <v>22</v>
      </c>
      <c r="D152" s="104"/>
      <c r="E152" s="126"/>
      <c r="F152" s="209"/>
      <c r="G152" s="213"/>
    </row>
    <row r="153" spans="1:7" ht="15" x14ac:dyDescent="0.25">
      <c r="A153" s="51" t="s">
        <v>138</v>
      </c>
      <c r="B153" s="99" t="s">
        <v>463</v>
      </c>
      <c r="C153" s="104">
        <v>43</v>
      </c>
      <c r="D153" s="128"/>
      <c r="E153" s="126"/>
      <c r="F153" s="209"/>
      <c r="G153" s="213"/>
    </row>
    <row r="154" spans="1:7" x14ac:dyDescent="0.2">
      <c r="A154" s="50" t="s">
        <v>126</v>
      </c>
      <c r="B154" s="98" t="s">
        <v>463</v>
      </c>
      <c r="C154" s="102">
        <v>27.93</v>
      </c>
      <c r="D154" s="128"/>
      <c r="E154" s="102"/>
      <c r="F154" s="209"/>
      <c r="G154" s="213"/>
    </row>
    <row r="155" spans="1:7" x14ac:dyDescent="0.2">
      <c r="A155" s="50" t="s">
        <v>1301</v>
      </c>
      <c r="B155" s="98" t="s">
        <v>463</v>
      </c>
      <c r="C155" s="102">
        <v>26.39</v>
      </c>
      <c r="D155" s="162"/>
      <c r="E155" s="102"/>
      <c r="F155" s="209"/>
      <c r="G155" s="213"/>
    </row>
    <row r="156" spans="1:7" x14ac:dyDescent="0.2">
      <c r="A156" s="50" t="s">
        <v>1300</v>
      </c>
      <c r="B156" s="98" t="s">
        <v>463</v>
      </c>
      <c r="C156" s="102">
        <v>30.57</v>
      </c>
      <c r="D156" s="162"/>
      <c r="E156" s="102"/>
      <c r="F156" s="209"/>
      <c r="G156" s="213"/>
    </row>
    <row r="157" spans="1:7" x14ac:dyDescent="0.2">
      <c r="A157" s="50" t="s">
        <v>921</v>
      </c>
      <c r="B157" s="98" t="s">
        <v>516</v>
      </c>
      <c r="C157" s="102">
        <v>52</v>
      </c>
      <c r="D157" s="102">
        <v>56.95</v>
      </c>
      <c r="E157" s="162"/>
      <c r="F157" s="209"/>
      <c r="G157" s="213"/>
    </row>
    <row r="158" spans="1:7" ht="15" x14ac:dyDescent="0.25">
      <c r="A158" s="51" t="s">
        <v>1057</v>
      </c>
      <c r="B158" s="99" t="s">
        <v>1058</v>
      </c>
      <c r="C158" s="102">
        <v>9</v>
      </c>
      <c r="D158" s="128"/>
      <c r="E158" s="126"/>
      <c r="F158" s="209"/>
      <c r="G158" s="213"/>
    </row>
    <row r="159" spans="1:7" ht="15" x14ac:dyDescent="0.25">
      <c r="A159" s="50" t="s">
        <v>922</v>
      </c>
      <c r="B159" s="99" t="s">
        <v>463</v>
      </c>
      <c r="C159" s="102">
        <v>5.5</v>
      </c>
      <c r="D159" s="128"/>
      <c r="E159" s="126"/>
      <c r="F159" s="209"/>
      <c r="G159" s="213"/>
    </row>
    <row r="160" spans="1:7" ht="15" x14ac:dyDescent="0.25">
      <c r="A160" s="50" t="s">
        <v>1585</v>
      </c>
      <c r="B160" s="99" t="s">
        <v>516</v>
      </c>
      <c r="C160" s="102">
        <v>55</v>
      </c>
      <c r="D160" s="128"/>
      <c r="E160" s="126"/>
      <c r="F160" s="209"/>
      <c r="G160" s="213"/>
    </row>
    <row r="161" spans="1:7" ht="12" customHeight="1" x14ac:dyDescent="0.2">
      <c r="A161" s="50" t="s">
        <v>922</v>
      </c>
      <c r="B161" s="98" t="s">
        <v>516</v>
      </c>
      <c r="C161" s="102">
        <v>52</v>
      </c>
      <c r="D161" s="102"/>
      <c r="E161" s="128"/>
      <c r="F161" s="209"/>
      <c r="G161" s="213"/>
    </row>
    <row r="162" spans="1:7" ht="12" customHeight="1" x14ac:dyDescent="0.2">
      <c r="A162" s="50" t="s">
        <v>1232</v>
      </c>
      <c r="B162" s="98" t="s">
        <v>516</v>
      </c>
      <c r="C162" s="102">
        <v>52</v>
      </c>
      <c r="D162" s="102">
        <v>55</v>
      </c>
      <c r="E162" s="102"/>
      <c r="F162" s="209"/>
      <c r="G162" s="213"/>
    </row>
    <row r="163" spans="1:7" ht="12" customHeight="1" x14ac:dyDescent="0.2">
      <c r="A163" s="50" t="s">
        <v>1232</v>
      </c>
      <c r="B163" s="98" t="s">
        <v>1467</v>
      </c>
      <c r="C163" s="102">
        <v>2.8</v>
      </c>
      <c r="D163" s="102"/>
      <c r="E163" s="102"/>
      <c r="F163" s="209"/>
      <c r="G163" s="213"/>
    </row>
    <row r="164" spans="1:7" ht="12" customHeight="1" x14ac:dyDescent="0.2">
      <c r="A164" s="50" t="s">
        <v>1244</v>
      </c>
      <c r="B164" s="98" t="s">
        <v>516</v>
      </c>
      <c r="C164" s="102">
        <v>55.86</v>
      </c>
      <c r="D164" s="102"/>
      <c r="E164" s="102"/>
      <c r="F164" s="209"/>
      <c r="G164" s="213"/>
    </row>
    <row r="165" spans="1:7" x14ac:dyDescent="0.2">
      <c r="A165" s="50" t="s">
        <v>1244</v>
      </c>
      <c r="B165" s="98" t="s">
        <v>1022</v>
      </c>
      <c r="C165" s="102">
        <v>2.4</v>
      </c>
      <c r="D165" s="102"/>
      <c r="E165" s="102"/>
      <c r="F165" s="209"/>
      <c r="G165" s="213"/>
    </row>
    <row r="166" spans="1:7" x14ac:dyDescent="0.2">
      <c r="A166" s="50" t="s">
        <v>1482</v>
      </c>
      <c r="B166" s="98" t="s">
        <v>463</v>
      </c>
      <c r="C166" s="102">
        <v>19</v>
      </c>
      <c r="D166" s="102"/>
      <c r="E166" s="102"/>
      <c r="F166" s="209"/>
      <c r="G166" s="213"/>
    </row>
    <row r="167" spans="1:7" x14ac:dyDescent="0.2">
      <c r="A167" s="50" t="s">
        <v>1513</v>
      </c>
      <c r="B167" s="98" t="s">
        <v>463</v>
      </c>
      <c r="C167" s="102">
        <v>30</v>
      </c>
      <c r="D167" s="102"/>
      <c r="E167" s="102"/>
      <c r="F167" s="209"/>
      <c r="G167" s="213"/>
    </row>
    <row r="168" spans="1:7" x14ac:dyDescent="0.2">
      <c r="A168" s="50" t="s">
        <v>1233</v>
      </c>
      <c r="B168" s="98" t="s">
        <v>463</v>
      </c>
      <c r="C168" s="102">
        <v>18</v>
      </c>
      <c r="D168" s="102"/>
      <c r="E168" s="102"/>
      <c r="F168" s="209"/>
      <c r="G168" s="213"/>
    </row>
    <row r="169" spans="1:7" x14ac:dyDescent="0.2">
      <c r="A169" s="50" t="s">
        <v>1230</v>
      </c>
      <c r="B169" s="98" t="s">
        <v>1231</v>
      </c>
      <c r="C169" s="102">
        <v>62.5</v>
      </c>
      <c r="D169" s="102">
        <v>63.5</v>
      </c>
      <c r="E169" s="102">
        <v>65</v>
      </c>
      <c r="F169" s="209"/>
      <c r="G169" s="213"/>
    </row>
    <row r="170" spans="1:7" x14ac:dyDescent="0.2">
      <c r="A170" s="51" t="s">
        <v>1373</v>
      </c>
      <c r="B170" s="99" t="s">
        <v>516</v>
      </c>
      <c r="C170" s="104">
        <v>58</v>
      </c>
      <c r="D170" s="104">
        <v>61.74</v>
      </c>
      <c r="E170" s="102">
        <v>56</v>
      </c>
      <c r="F170" s="209"/>
      <c r="G170" s="213"/>
    </row>
    <row r="171" spans="1:7" x14ac:dyDescent="0.2">
      <c r="A171" s="51" t="s">
        <v>1569</v>
      </c>
      <c r="B171" s="99" t="s">
        <v>463</v>
      </c>
      <c r="C171" s="104">
        <v>27</v>
      </c>
      <c r="D171" s="104"/>
      <c r="E171" s="102"/>
      <c r="F171" s="209"/>
      <c r="G171" s="213"/>
    </row>
    <row r="172" spans="1:7" ht="15" x14ac:dyDescent="0.25">
      <c r="A172" s="51" t="s">
        <v>808</v>
      </c>
      <c r="B172" s="99" t="s">
        <v>463</v>
      </c>
      <c r="C172" s="104">
        <v>26</v>
      </c>
      <c r="D172" s="104"/>
      <c r="E172" s="126"/>
      <c r="F172" s="209"/>
      <c r="G172" s="213"/>
    </row>
    <row r="173" spans="1:7" ht="15" x14ac:dyDescent="0.25">
      <c r="A173" s="51" t="s">
        <v>1483</v>
      </c>
      <c r="B173" s="99" t="s">
        <v>646</v>
      </c>
      <c r="C173" s="102">
        <v>85</v>
      </c>
      <c r="D173" s="102"/>
      <c r="E173" s="126"/>
      <c r="F173" s="209"/>
      <c r="G173" s="213"/>
    </row>
    <row r="174" spans="1:7" ht="15" x14ac:dyDescent="0.25">
      <c r="A174" s="51" t="s">
        <v>1352</v>
      </c>
      <c r="B174" s="99" t="s">
        <v>1060</v>
      </c>
      <c r="C174" s="102">
        <v>75</v>
      </c>
      <c r="D174" s="102"/>
      <c r="E174" s="126"/>
      <c r="F174" s="209"/>
      <c r="G174" s="213"/>
    </row>
    <row r="175" spans="1:7" ht="15" x14ac:dyDescent="0.25">
      <c r="A175" s="51" t="s">
        <v>1352</v>
      </c>
      <c r="B175" s="99" t="s">
        <v>463</v>
      </c>
      <c r="C175" s="102">
        <v>22.5</v>
      </c>
      <c r="D175" s="102"/>
      <c r="E175" s="126"/>
      <c r="F175" s="209"/>
      <c r="G175" s="213"/>
    </row>
    <row r="176" spans="1:7" x14ac:dyDescent="0.2">
      <c r="A176" s="50" t="s">
        <v>553</v>
      </c>
      <c r="B176" s="98" t="s">
        <v>516</v>
      </c>
      <c r="C176" s="102">
        <v>79</v>
      </c>
      <c r="D176" s="102">
        <v>89.02</v>
      </c>
      <c r="E176" s="102"/>
      <c r="F176" s="209"/>
      <c r="G176" s="213"/>
    </row>
    <row r="177" spans="1:7" ht="15" x14ac:dyDescent="0.25">
      <c r="A177" s="51" t="s">
        <v>553</v>
      </c>
      <c r="B177" s="99" t="s">
        <v>462</v>
      </c>
      <c r="C177" s="104">
        <v>35</v>
      </c>
      <c r="D177" s="131"/>
      <c r="E177" s="126"/>
      <c r="F177" s="209"/>
      <c r="G177" s="213"/>
    </row>
    <row r="178" spans="1:7" x14ac:dyDescent="0.2">
      <c r="A178" s="51" t="s">
        <v>612</v>
      </c>
      <c r="B178" s="99" t="s">
        <v>496</v>
      </c>
      <c r="C178" s="102">
        <v>22.78</v>
      </c>
      <c r="D178" s="102">
        <v>22</v>
      </c>
      <c r="E178" s="102">
        <v>22.78</v>
      </c>
      <c r="F178" s="209"/>
      <c r="G178" s="213"/>
    </row>
    <row r="179" spans="1:7" x14ac:dyDescent="0.2">
      <c r="A179" s="50" t="s">
        <v>683</v>
      </c>
      <c r="B179" s="98" t="s">
        <v>463</v>
      </c>
      <c r="C179" s="102">
        <v>5.63</v>
      </c>
      <c r="D179" s="102">
        <v>5</v>
      </c>
      <c r="E179" s="102"/>
      <c r="F179" s="209"/>
      <c r="G179" s="213"/>
    </row>
    <row r="180" spans="1:7" x14ac:dyDescent="0.2">
      <c r="A180" s="50" t="s">
        <v>1496</v>
      </c>
      <c r="B180" s="98" t="s">
        <v>1497</v>
      </c>
      <c r="C180" s="102">
        <v>17</v>
      </c>
      <c r="D180" s="102"/>
      <c r="E180" s="102"/>
      <c r="F180" s="209"/>
      <c r="G180" s="213"/>
    </row>
    <row r="181" spans="1:7" x14ac:dyDescent="0.2">
      <c r="A181" s="50" t="s">
        <v>1034</v>
      </c>
      <c r="B181" s="98" t="s">
        <v>1310</v>
      </c>
      <c r="C181" s="102">
        <v>24</v>
      </c>
      <c r="D181" s="128"/>
      <c r="E181" s="102"/>
      <c r="F181" s="209"/>
      <c r="G181" s="213"/>
    </row>
    <row r="182" spans="1:7" x14ac:dyDescent="0.2">
      <c r="A182" s="50" t="s">
        <v>850</v>
      </c>
      <c r="B182" s="98" t="s">
        <v>1311</v>
      </c>
      <c r="C182" s="102">
        <v>15.59</v>
      </c>
      <c r="D182" s="102">
        <v>14.7</v>
      </c>
      <c r="E182" s="102">
        <v>13.2</v>
      </c>
      <c r="F182" s="209"/>
      <c r="G182" s="213"/>
    </row>
    <row r="183" spans="1:7" x14ac:dyDescent="0.2">
      <c r="A183" s="50" t="s">
        <v>1272</v>
      </c>
      <c r="B183" s="98" t="s">
        <v>1022</v>
      </c>
      <c r="C183" s="102">
        <v>13.5</v>
      </c>
      <c r="D183" s="102"/>
      <c r="E183" s="102"/>
      <c r="F183" s="209"/>
      <c r="G183" s="213"/>
    </row>
    <row r="184" spans="1:7" ht="15" x14ac:dyDescent="0.25">
      <c r="A184" s="51" t="s">
        <v>1449</v>
      </c>
      <c r="B184" s="98" t="s">
        <v>1450</v>
      </c>
      <c r="C184" s="104">
        <v>17</v>
      </c>
      <c r="D184" s="104"/>
      <c r="E184" s="126"/>
      <c r="F184" s="209"/>
      <c r="G184" s="213"/>
    </row>
    <row r="185" spans="1:7" ht="15" x14ac:dyDescent="0.25">
      <c r="A185" s="50" t="s">
        <v>1234</v>
      </c>
      <c r="B185" s="98" t="s">
        <v>1484</v>
      </c>
      <c r="C185" s="104">
        <v>22</v>
      </c>
      <c r="D185" s="104"/>
      <c r="E185" s="126"/>
      <c r="F185" s="209"/>
      <c r="G185" s="213"/>
    </row>
    <row r="186" spans="1:7" x14ac:dyDescent="0.2">
      <c r="A186" s="50" t="s">
        <v>1234</v>
      </c>
      <c r="B186" s="98" t="s">
        <v>1021</v>
      </c>
      <c r="C186" s="102">
        <v>21</v>
      </c>
      <c r="D186" s="102">
        <v>20</v>
      </c>
      <c r="E186" s="102">
        <v>19</v>
      </c>
      <c r="F186" s="209"/>
      <c r="G186" s="213"/>
    </row>
    <row r="187" spans="1:7" ht="15" x14ac:dyDescent="0.25">
      <c r="A187" s="51" t="s">
        <v>1391</v>
      </c>
      <c r="B187" s="99" t="s">
        <v>1392</v>
      </c>
      <c r="C187" s="104">
        <v>5</v>
      </c>
      <c r="D187" s="104"/>
      <c r="E187" s="126"/>
      <c r="F187" s="209"/>
      <c r="G187" s="213"/>
    </row>
    <row r="188" spans="1:7" x14ac:dyDescent="0.2">
      <c r="A188" s="50" t="s">
        <v>1254</v>
      </c>
      <c r="B188" s="98">
        <v>1000</v>
      </c>
      <c r="C188" s="102">
        <v>130</v>
      </c>
      <c r="D188" s="102"/>
      <c r="E188" s="162"/>
      <c r="F188" s="209"/>
      <c r="G188" s="213"/>
    </row>
    <row r="189" spans="1:7" x14ac:dyDescent="0.2">
      <c r="A189" s="50" t="s">
        <v>1253</v>
      </c>
      <c r="B189" s="98">
        <v>500</v>
      </c>
      <c r="C189" s="102">
        <v>44.1</v>
      </c>
      <c r="D189" s="102"/>
      <c r="E189" s="162"/>
      <c r="F189" s="209"/>
      <c r="G189" s="213"/>
    </row>
    <row r="190" spans="1:7" x14ac:dyDescent="0.2">
      <c r="A190" s="50" t="s">
        <v>1235</v>
      </c>
      <c r="B190" s="98" t="s">
        <v>1236</v>
      </c>
      <c r="C190" s="102">
        <v>105.11</v>
      </c>
      <c r="D190" s="102">
        <v>90</v>
      </c>
      <c r="E190" s="102">
        <v>81</v>
      </c>
      <c r="F190" s="131"/>
      <c r="G190" s="213"/>
    </row>
    <row r="191" spans="1:7" x14ac:dyDescent="0.2">
      <c r="A191" s="50" t="s">
        <v>1235</v>
      </c>
      <c r="B191" s="98" t="s">
        <v>462</v>
      </c>
      <c r="C191" s="102">
        <v>48</v>
      </c>
      <c r="D191" s="102"/>
      <c r="E191" s="102"/>
      <c r="F191" s="209"/>
      <c r="G191" s="213"/>
    </row>
    <row r="192" spans="1:7" x14ac:dyDescent="0.2">
      <c r="A192" s="50" t="s">
        <v>1292</v>
      </c>
      <c r="B192" s="98" t="s">
        <v>462</v>
      </c>
      <c r="C192" s="102">
        <v>64.38</v>
      </c>
      <c r="D192" s="102">
        <v>83.26</v>
      </c>
      <c r="E192" s="128">
        <v>75</v>
      </c>
      <c r="F192" s="209"/>
      <c r="G192" s="213"/>
    </row>
    <row r="193" spans="1:7" ht="15" x14ac:dyDescent="0.25">
      <c r="A193" s="51" t="s">
        <v>1570</v>
      </c>
      <c r="B193" s="99" t="s">
        <v>516</v>
      </c>
      <c r="C193" s="104">
        <v>220</v>
      </c>
      <c r="D193" s="104"/>
      <c r="E193" s="126"/>
      <c r="F193" s="209"/>
      <c r="G193" s="213"/>
    </row>
    <row r="194" spans="1:7" x14ac:dyDescent="0.2">
      <c r="A194" s="50" t="s">
        <v>1010</v>
      </c>
      <c r="B194" s="98" t="s">
        <v>463</v>
      </c>
      <c r="C194" s="104">
        <v>4.2</v>
      </c>
      <c r="D194" s="102"/>
      <c r="E194" s="102"/>
      <c r="F194" s="210"/>
      <c r="G194" s="213"/>
    </row>
    <row r="195" spans="1:7" x14ac:dyDescent="0.2">
      <c r="A195" s="50" t="s">
        <v>1302</v>
      </c>
      <c r="B195" s="98">
        <v>300</v>
      </c>
      <c r="C195" s="102">
        <v>160</v>
      </c>
      <c r="D195" s="102"/>
      <c r="E195" s="102"/>
      <c r="F195" s="209"/>
      <c r="G195" s="213"/>
    </row>
    <row r="196" spans="1:7" x14ac:dyDescent="0.2">
      <c r="A196" s="50" t="s">
        <v>1302</v>
      </c>
      <c r="B196" s="98">
        <v>600</v>
      </c>
      <c r="C196" s="102">
        <v>200</v>
      </c>
      <c r="D196" s="102"/>
      <c r="E196" s="102"/>
      <c r="F196" s="209"/>
      <c r="G196" s="213"/>
    </row>
    <row r="197" spans="1:7" x14ac:dyDescent="0.2">
      <c r="A197" s="50" t="s">
        <v>1237</v>
      </c>
      <c r="B197" s="98" t="s">
        <v>1286</v>
      </c>
      <c r="C197" s="102">
        <v>19</v>
      </c>
      <c r="D197" s="102"/>
      <c r="E197" s="102"/>
      <c r="F197" s="209"/>
      <c r="G197" s="213"/>
    </row>
    <row r="198" spans="1:7" x14ac:dyDescent="0.2">
      <c r="A198" s="50" t="s">
        <v>1466</v>
      </c>
      <c r="B198" s="98" t="s">
        <v>1286</v>
      </c>
      <c r="C198" s="102">
        <v>20.36</v>
      </c>
      <c r="D198" s="102"/>
      <c r="E198" s="102"/>
      <c r="F198" s="209"/>
      <c r="G198" s="213"/>
    </row>
    <row r="199" spans="1:7" ht="15" x14ac:dyDescent="0.25">
      <c r="A199" s="51" t="s">
        <v>1384</v>
      </c>
      <c r="B199" s="99" t="s">
        <v>463</v>
      </c>
      <c r="C199" s="104">
        <v>74</v>
      </c>
      <c r="D199" s="104">
        <v>70</v>
      </c>
      <c r="E199" s="126"/>
      <c r="F199" s="209"/>
      <c r="G199" s="213"/>
    </row>
    <row r="200" spans="1:7" x14ac:dyDescent="0.2">
      <c r="A200" s="50" t="s">
        <v>1273</v>
      </c>
      <c r="B200" s="98" t="s">
        <v>463</v>
      </c>
      <c r="C200" s="102">
        <v>33</v>
      </c>
      <c r="D200" s="102"/>
      <c r="E200" s="102"/>
      <c r="F200" s="209"/>
      <c r="G200" s="213"/>
    </row>
    <row r="201" spans="1:7" ht="15" x14ac:dyDescent="0.25">
      <c r="A201" s="51" t="s">
        <v>1406</v>
      </c>
      <c r="B201" s="99" t="s">
        <v>1407</v>
      </c>
      <c r="C201" s="104">
        <v>7.7</v>
      </c>
      <c r="D201" s="104"/>
      <c r="E201" s="126"/>
      <c r="F201" s="209"/>
      <c r="G201" s="213"/>
    </row>
    <row r="202" spans="1:7" ht="15" x14ac:dyDescent="0.25">
      <c r="A202" s="50" t="s">
        <v>1451</v>
      </c>
      <c r="B202" s="98" t="s">
        <v>463</v>
      </c>
      <c r="C202" s="104">
        <v>26.5</v>
      </c>
      <c r="D202" s="104"/>
      <c r="E202" s="126"/>
      <c r="F202" s="209"/>
      <c r="G202" s="213"/>
    </row>
    <row r="203" spans="1:7" ht="15" x14ac:dyDescent="0.25">
      <c r="A203" s="51" t="s">
        <v>1386</v>
      </c>
      <c r="B203" s="99" t="s">
        <v>1387</v>
      </c>
      <c r="C203" s="104">
        <v>0.9</v>
      </c>
      <c r="D203" s="104">
        <v>1.03</v>
      </c>
      <c r="E203" s="126"/>
      <c r="F203" s="209"/>
      <c r="G203" s="213"/>
    </row>
    <row r="204" spans="1:7" ht="15" x14ac:dyDescent="0.25">
      <c r="A204" s="51" t="s">
        <v>1353</v>
      </c>
      <c r="B204" s="99" t="s">
        <v>1354</v>
      </c>
      <c r="C204" s="102">
        <v>2.2799999999999998</v>
      </c>
      <c r="D204" s="102"/>
      <c r="E204" s="126"/>
      <c r="F204" s="209"/>
      <c r="G204" s="213"/>
    </row>
    <row r="205" spans="1:7" x14ac:dyDescent="0.2">
      <c r="A205" s="50" t="s">
        <v>1238</v>
      </c>
      <c r="B205" s="98" t="s">
        <v>1019</v>
      </c>
      <c r="C205" s="102">
        <v>12</v>
      </c>
      <c r="D205" s="102">
        <v>14.32</v>
      </c>
      <c r="E205" s="102"/>
      <c r="F205" s="209"/>
      <c r="G205" s="213"/>
    </row>
    <row r="206" spans="1:7" x14ac:dyDescent="0.2">
      <c r="A206" s="50" t="s">
        <v>1255</v>
      </c>
      <c r="B206" s="98">
        <v>500</v>
      </c>
      <c r="C206" s="102">
        <v>88.2</v>
      </c>
      <c r="D206" s="102"/>
      <c r="E206" s="102"/>
      <c r="F206" s="209"/>
      <c r="G206" s="213"/>
    </row>
    <row r="207" spans="1:7" x14ac:dyDescent="0.2">
      <c r="A207" s="50" t="s">
        <v>1256</v>
      </c>
      <c r="B207" s="98">
        <v>900</v>
      </c>
      <c r="C207" s="102">
        <v>170</v>
      </c>
      <c r="D207" s="102"/>
      <c r="E207" s="102"/>
      <c r="F207" s="209"/>
      <c r="G207" s="213"/>
    </row>
    <row r="208" spans="1:7" ht="15" x14ac:dyDescent="0.25">
      <c r="A208" s="50" t="s">
        <v>1452</v>
      </c>
      <c r="B208" s="98" t="s">
        <v>646</v>
      </c>
      <c r="C208" s="104">
        <v>48</v>
      </c>
      <c r="D208" s="104"/>
      <c r="E208" s="126"/>
      <c r="F208" s="209"/>
      <c r="G208" s="213"/>
    </row>
    <row r="209" spans="1:7" x14ac:dyDescent="0.2">
      <c r="A209" s="50" t="s">
        <v>1239</v>
      </c>
      <c r="B209" s="98" t="s">
        <v>646</v>
      </c>
      <c r="C209" s="102">
        <v>55</v>
      </c>
      <c r="D209" s="102"/>
      <c r="E209" s="102"/>
      <c r="F209" s="209"/>
      <c r="G209" s="213"/>
    </row>
    <row r="210" spans="1:7" x14ac:dyDescent="0.2">
      <c r="A210" s="50" t="s">
        <v>1240</v>
      </c>
      <c r="B210" s="98" t="s">
        <v>646</v>
      </c>
      <c r="C210" s="102">
        <v>50</v>
      </c>
      <c r="D210" s="102"/>
      <c r="E210" s="102"/>
      <c r="F210" s="209"/>
      <c r="G210" s="213"/>
    </row>
    <row r="211" spans="1:7" x14ac:dyDescent="0.2">
      <c r="A211" s="50" t="s">
        <v>1332</v>
      </c>
      <c r="B211" s="98" t="s">
        <v>1019</v>
      </c>
      <c r="C211" s="102">
        <v>12</v>
      </c>
      <c r="D211" s="102"/>
      <c r="E211" s="102"/>
      <c r="F211" s="209"/>
      <c r="G211" s="213"/>
    </row>
    <row r="212" spans="1:7" x14ac:dyDescent="0.2">
      <c r="A212" s="50" t="s">
        <v>1453</v>
      </c>
      <c r="B212" s="98" t="s">
        <v>1019</v>
      </c>
      <c r="C212" s="102">
        <v>15</v>
      </c>
      <c r="D212" s="102"/>
      <c r="E212" s="102"/>
      <c r="F212" s="209"/>
      <c r="G212" s="213"/>
    </row>
    <row r="213" spans="1:7" ht="15" x14ac:dyDescent="0.25">
      <c r="A213" s="51" t="s">
        <v>1408</v>
      </c>
      <c r="B213" s="99" t="s">
        <v>526</v>
      </c>
      <c r="C213" s="104">
        <v>83</v>
      </c>
      <c r="D213" s="104"/>
      <c r="E213" s="126"/>
      <c r="F213" s="209"/>
      <c r="G213" s="213"/>
    </row>
    <row r="214" spans="1:7" x14ac:dyDescent="0.2">
      <c r="A214" s="50" t="s">
        <v>1333</v>
      </c>
      <c r="B214" s="98" t="s">
        <v>1019</v>
      </c>
      <c r="C214" s="102">
        <v>16</v>
      </c>
      <c r="D214" s="102"/>
      <c r="E214" s="102"/>
      <c r="F214" s="209"/>
      <c r="G214" s="213"/>
    </row>
    <row r="215" spans="1:7" ht="15" x14ac:dyDescent="0.25">
      <c r="A215" s="51" t="s">
        <v>1499</v>
      </c>
      <c r="B215" s="99" t="s">
        <v>1241</v>
      </c>
      <c r="C215" s="104">
        <v>72.45</v>
      </c>
      <c r="D215" s="104">
        <v>88.73</v>
      </c>
      <c r="E215" s="126"/>
      <c r="F215" s="209"/>
      <c r="G215" s="213"/>
    </row>
    <row r="216" spans="1:7" x14ac:dyDescent="0.2">
      <c r="A216" s="50" t="s">
        <v>525</v>
      </c>
      <c r="B216" s="98" t="s">
        <v>646</v>
      </c>
      <c r="C216" s="102">
        <v>43.01</v>
      </c>
      <c r="D216" s="102"/>
      <c r="E216" s="102"/>
      <c r="F216" s="209"/>
      <c r="G216" s="213"/>
    </row>
    <row r="217" spans="1:7" x14ac:dyDescent="0.2">
      <c r="A217" s="50" t="s">
        <v>1035</v>
      </c>
      <c r="B217" s="98" t="s">
        <v>646</v>
      </c>
      <c r="C217" s="102">
        <v>85.01</v>
      </c>
      <c r="D217" s="102"/>
      <c r="E217" s="102"/>
      <c r="F217" s="209"/>
      <c r="G217" s="213"/>
    </row>
    <row r="218" spans="1:7" ht="15" x14ac:dyDescent="0.25">
      <c r="A218" s="51" t="s">
        <v>1454</v>
      </c>
      <c r="B218" s="99" t="s">
        <v>1455</v>
      </c>
      <c r="C218" s="104">
        <v>11</v>
      </c>
      <c r="D218" s="104"/>
      <c r="E218" s="126"/>
      <c r="F218" s="209"/>
      <c r="G218" s="213"/>
    </row>
    <row r="219" spans="1:7" x14ac:dyDescent="0.2">
      <c r="A219" s="50" t="s">
        <v>1456</v>
      </c>
      <c r="B219" s="98" t="s">
        <v>1060</v>
      </c>
      <c r="C219" s="102">
        <v>70</v>
      </c>
      <c r="D219" s="102"/>
      <c r="E219" s="102"/>
      <c r="F219" s="209"/>
      <c r="G219" s="213"/>
    </row>
    <row r="220" spans="1:7" ht="15" x14ac:dyDescent="0.25">
      <c r="A220" s="51" t="s">
        <v>1355</v>
      </c>
      <c r="B220" s="99" t="s">
        <v>646</v>
      </c>
      <c r="C220" s="102">
        <v>37.5</v>
      </c>
      <c r="D220" s="162"/>
      <c r="E220" s="126"/>
      <c r="F220" s="209"/>
      <c r="G220" s="213"/>
    </row>
    <row r="221" spans="1:7" ht="15" x14ac:dyDescent="0.25">
      <c r="A221" s="51" t="s">
        <v>1500</v>
      </c>
      <c r="B221" s="99" t="s">
        <v>1501</v>
      </c>
      <c r="C221" s="102">
        <v>49</v>
      </c>
      <c r="D221" s="102"/>
      <c r="E221" s="126"/>
      <c r="F221" s="209"/>
      <c r="G221" s="213"/>
    </row>
    <row r="222" spans="1:7" x14ac:dyDescent="0.2">
      <c r="A222" s="50" t="s">
        <v>1036</v>
      </c>
      <c r="B222" s="98" t="s">
        <v>646</v>
      </c>
      <c r="C222" s="102">
        <v>55</v>
      </c>
      <c r="D222" s="102"/>
      <c r="E222" s="102"/>
      <c r="F222" s="209"/>
      <c r="G222" s="213"/>
    </row>
    <row r="223" spans="1:7" x14ac:dyDescent="0.2">
      <c r="A223" s="50" t="s">
        <v>1303</v>
      </c>
      <c r="B223" s="98" t="s">
        <v>1021</v>
      </c>
      <c r="C223" s="102">
        <v>47</v>
      </c>
      <c r="D223" s="128"/>
      <c r="E223" s="102"/>
      <c r="F223" s="209"/>
      <c r="G223" s="213"/>
    </row>
    <row r="224" spans="1:7" x14ac:dyDescent="0.2">
      <c r="A224" s="50" t="s">
        <v>1473</v>
      </c>
      <c r="B224" s="98" t="s">
        <v>463</v>
      </c>
      <c r="C224" s="102">
        <v>60</v>
      </c>
      <c r="D224" s="102"/>
      <c r="E224" s="102"/>
      <c r="F224" s="209"/>
      <c r="G224" s="213"/>
    </row>
    <row r="225" spans="1:7" x14ac:dyDescent="0.2">
      <c r="A225" s="50" t="s">
        <v>1274</v>
      </c>
      <c r="B225" s="98" t="s">
        <v>1060</v>
      </c>
      <c r="C225" s="102">
        <v>60</v>
      </c>
      <c r="D225" s="102"/>
      <c r="E225" s="162"/>
      <c r="F225" s="209"/>
      <c r="G225" s="213"/>
    </row>
    <row r="226" spans="1:7" ht="15" x14ac:dyDescent="0.25">
      <c r="A226" s="51" t="s">
        <v>1365</v>
      </c>
      <c r="B226" s="99" t="s">
        <v>646</v>
      </c>
      <c r="C226" s="104">
        <v>39.94</v>
      </c>
      <c r="D226" s="104"/>
      <c r="E226" s="126"/>
      <c r="F226" s="209"/>
      <c r="G226" s="213"/>
    </row>
    <row r="227" spans="1:7" ht="15" x14ac:dyDescent="0.25">
      <c r="A227" s="51" t="s">
        <v>1365</v>
      </c>
      <c r="B227" s="99" t="s">
        <v>526</v>
      </c>
      <c r="C227" s="104">
        <v>135</v>
      </c>
      <c r="D227" s="104"/>
      <c r="E227" s="126"/>
      <c r="F227" s="209"/>
      <c r="G227" s="213"/>
    </row>
    <row r="228" spans="1:7" x14ac:dyDescent="0.2">
      <c r="A228" s="50" t="s">
        <v>1372</v>
      </c>
      <c r="B228" s="98" t="s">
        <v>1241</v>
      </c>
      <c r="C228" s="102">
        <v>31.55</v>
      </c>
      <c r="D228" s="162"/>
      <c r="E228" s="128"/>
      <c r="F228" s="209"/>
      <c r="G228" s="213"/>
    </row>
    <row r="229" spans="1:7" x14ac:dyDescent="0.2">
      <c r="A229" s="50" t="s">
        <v>792</v>
      </c>
      <c r="B229" s="98" t="s">
        <v>646</v>
      </c>
      <c r="C229" s="102">
        <v>31.37</v>
      </c>
      <c r="D229" s="162">
        <v>41</v>
      </c>
      <c r="E229" s="102"/>
      <c r="F229" s="209"/>
      <c r="G229" s="213"/>
    </row>
    <row r="230" spans="1:7" x14ac:dyDescent="0.2">
      <c r="A230" s="50" t="s">
        <v>1457</v>
      </c>
      <c r="B230" s="98" t="s">
        <v>1458</v>
      </c>
      <c r="C230" s="102">
        <v>135</v>
      </c>
      <c r="D230" s="102"/>
      <c r="E230" s="102"/>
      <c r="F230" s="209"/>
      <c r="G230" s="213"/>
    </row>
    <row r="231" spans="1:7" ht="15" x14ac:dyDescent="0.25">
      <c r="A231" s="51" t="s">
        <v>1334</v>
      </c>
      <c r="B231" s="99" t="s">
        <v>1019</v>
      </c>
      <c r="C231" s="102">
        <v>17.260000000000002</v>
      </c>
      <c r="D231" s="128">
        <v>20</v>
      </c>
      <c r="E231" s="126"/>
      <c r="F231" s="209"/>
      <c r="G231" s="213"/>
    </row>
    <row r="232" spans="1:7" x14ac:dyDescent="0.2">
      <c r="A232" s="50" t="s">
        <v>1038</v>
      </c>
      <c r="B232" s="98" t="s">
        <v>1019</v>
      </c>
      <c r="C232" s="102">
        <v>12.88</v>
      </c>
      <c r="D232" s="128">
        <v>14.93</v>
      </c>
      <c r="E232" s="102"/>
      <c r="F232" s="209"/>
      <c r="G232" s="213"/>
    </row>
    <row r="233" spans="1:7" x14ac:dyDescent="0.2">
      <c r="A233" s="50" t="s">
        <v>1459</v>
      </c>
      <c r="B233" s="98" t="s">
        <v>646</v>
      </c>
      <c r="C233" s="102">
        <v>70</v>
      </c>
      <c r="D233" s="102"/>
      <c r="E233" s="102"/>
      <c r="F233" s="209"/>
      <c r="G233" s="213"/>
    </row>
    <row r="234" spans="1:7" x14ac:dyDescent="0.2">
      <c r="A234" s="50" t="s">
        <v>1459</v>
      </c>
      <c r="B234" s="98" t="s">
        <v>526</v>
      </c>
      <c r="C234" s="102">
        <v>120.17</v>
      </c>
      <c r="D234" s="102"/>
      <c r="E234" s="102"/>
      <c r="F234" s="209"/>
      <c r="G234" s="213"/>
    </row>
    <row r="235" spans="1:7" x14ac:dyDescent="0.2">
      <c r="A235" s="50" t="s">
        <v>1474</v>
      </c>
      <c r="B235" s="98" t="s">
        <v>1019</v>
      </c>
      <c r="C235" s="102">
        <v>65</v>
      </c>
      <c r="D235" s="102"/>
      <c r="E235" s="102"/>
      <c r="F235" s="209"/>
      <c r="G235" s="213"/>
    </row>
    <row r="236" spans="1:7" x14ac:dyDescent="0.2">
      <c r="A236" s="50" t="s">
        <v>1260</v>
      </c>
      <c r="B236" s="98">
        <v>120</v>
      </c>
      <c r="C236" s="102">
        <v>42.34</v>
      </c>
      <c r="D236" s="102"/>
      <c r="E236" s="102"/>
      <c r="F236" s="209"/>
      <c r="G236" s="213"/>
    </row>
    <row r="237" spans="1:7" x14ac:dyDescent="0.2">
      <c r="A237" s="50" t="s">
        <v>1259</v>
      </c>
      <c r="B237" s="98">
        <v>120</v>
      </c>
      <c r="C237" s="102">
        <v>44.1</v>
      </c>
      <c r="D237" s="102"/>
      <c r="E237" s="102"/>
      <c r="F237" s="209"/>
      <c r="G237" s="213"/>
    </row>
    <row r="238" spans="1:7" ht="15" x14ac:dyDescent="0.25">
      <c r="A238" s="51" t="s">
        <v>1039</v>
      </c>
      <c r="B238" s="99" t="s">
        <v>757</v>
      </c>
      <c r="C238" s="104">
        <v>4.8499999999999996</v>
      </c>
      <c r="D238" s="131"/>
      <c r="E238" s="126"/>
      <c r="F238" s="209"/>
      <c r="G238" s="213"/>
    </row>
    <row r="239" spans="1:7" x14ac:dyDescent="0.2">
      <c r="A239" s="50" t="s">
        <v>1335</v>
      </c>
      <c r="B239" s="98">
        <v>1</v>
      </c>
      <c r="C239" s="102">
        <v>22</v>
      </c>
      <c r="D239" s="162"/>
      <c r="E239" s="102"/>
      <c r="F239" s="209"/>
      <c r="G239" s="213"/>
    </row>
    <row r="240" spans="1:7" ht="15" x14ac:dyDescent="0.25">
      <c r="A240" s="51" t="s">
        <v>1385</v>
      </c>
      <c r="B240" s="99" t="s">
        <v>917</v>
      </c>
      <c r="C240" s="104">
        <v>6.4</v>
      </c>
      <c r="D240" s="104"/>
      <c r="E240" s="126"/>
      <c r="F240" s="209"/>
      <c r="G240" s="213"/>
    </row>
    <row r="241" spans="1:24" ht="15" x14ac:dyDescent="0.25">
      <c r="A241" s="51" t="s">
        <v>1016</v>
      </c>
      <c r="B241" s="99" t="s">
        <v>463</v>
      </c>
      <c r="C241" s="104">
        <v>22</v>
      </c>
      <c r="D241" s="128">
        <v>21</v>
      </c>
      <c r="E241" s="126"/>
      <c r="F241" s="209"/>
      <c r="G241" s="213"/>
    </row>
    <row r="242" spans="1:24" x14ac:dyDescent="0.2">
      <c r="A242" s="50" t="s">
        <v>1275</v>
      </c>
      <c r="B242" s="98" t="s">
        <v>1022</v>
      </c>
      <c r="C242" s="102">
        <v>19</v>
      </c>
      <c r="D242" s="128"/>
      <c r="E242" s="102"/>
      <c r="F242" s="209"/>
      <c r="G242" s="213"/>
    </row>
    <row r="243" spans="1:24" x14ac:dyDescent="0.2">
      <c r="A243" s="50" t="s">
        <v>132</v>
      </c>
      <c r="B243" s="98" t="s">
        <v>463</v>
      </c>
      <c r="C243" s="102">
        <v>24</v>
      </c>
      <c r="D243" s="102"/>
      <c r="E243" s="102"/>
      <c r="F243" s="209"/>
      <c r="G243" s="213"/>
    </row>
    <row r="244" spans="1:24" x14ac:dyDescent="0.2">
      <c r="A244" s="50" t="s">
        <v>1485</v>
      </c>
      <c r="B244" s="98" t="s">
        <v>463</v>
      </c>
      <c r="C244" s="102">
        <v>27</v>
      </c>
      <c r="D244" s="102"/>
      <c r="E244" s="102"/>
      <c r="F244" s="209"/>
      <c r="G244" s="213"/>
    </row>
    <row r="245" spans="1:24" x14ac:dyDescent="0.2">
      <c r="A245" s="50" t="s">
        <v>157</v>
      </c>
      <c r="B245" s="98" t="s">
        <v>1293</v>
      </c>
      <c r="C245" s="162">
        <v>18.7</v>
      </c>
      <c r="D245" s="102"/>
      <c r="E245" s="102"/>
      <c r="F245" s="209"/>
      <c r="G245" s="213"/>
    </row>
    <row r="246" spans="1:24" ht="15" x14ac:dyDescent="0.25">
      <c r="A246" s="51" t="s">
        <v>1396</v>
      </c>
      <c r="B246" s="99" t="s">
        <v>462</v>
      </c>
      <c r="C246" s="131">
        <v>120</v>
      </c>
      <c r="D246" s="104">
        <v>250</v>
      </c>
      <c r="E246" s="126"/>
      <c r="F246" s="209"/>
      <c r="G246" s="213"/>
    </row>
    <row r="247" spans="1:24" ht="15" x14ac:dyDescent="0.25">
      <c r="A247" s="51" t="s">
        <v>782</v>
      </c>
      <c r="B247" s="99" t="s">
        <v>1401</v>
      </c>
      <c r="C247" s="104">
        <v>39</v>
      </c>
      <c r="D247" s="104"/>
      <c r="E247" s="126"/>
      <c r="F247" s="209"/>
      <c r="G247" s="213"/>
    </row>
    <row r="248" spans="1:24" ht="15" x14ac:dyDescent="0.25">
      <c r="A248" s="50" t="s">
        <v>1580</v>
      </c>
      <c r="B248" s="98" t="s">
        <v>1019</v>
      </c>
      <c r="C248" s="104">
        <v>16.440000000000001</v>
      </c>
      <c r="D248" s="104"/>
      <c r="E248" s="126"/>
      <c r="F248" s="208"/>
      <c r="G248" s="213"/>
    </row>
    <row r="249" spans="1:24" x14ac:dyDescent="0.2">
      <c r="A249" s="50" t="s">
        <v>1242</v>
      </c>
      <c r="B249" s="98" t="s">
        <v>646</v>
      </c>
      <c r="C249" s="179">
        <v>115</v>
      </c>
      <c r="D249" s="102"/>
      <c r="E249" s="102"/>
      <c r="F249" s="131"/>
      <c r="G249" s="213"/>
      <c r="X249" s="40"/>
    </row>
    <row r="250" spans="1:24" x14ac:dyDescent="0.2">
      <c r="A250" s="50" t="s">
        <v>1294</v>
      </c>
      <c r="B250" s="98" t="s">
        <v>526</v>
      </c>
      <c r="C250" s="179">
        <v>34</v>
      </c>
      <c r="D250" s="102"/>
      <c r="E250" s="102"/>
      <c r="F250" s="209"/>
      <c r="G250" s="213"/>
    </row>
    <row r="251" spans="1:24" x14ac:dyDescent="0.2">
      <c r="A251" s="50" t="s">
        <v>1294</v>
      </c>
      <c r="B251" s="98" t="s">
        <v>1019</v>
      </c>
      <c r="C251" s="102">
        <v>6.2</v>
      </c>
      <c r="D251" s="102"/>
      <c r="E251" s="102"/>
      <c r="F251" s="209"/>
      <c r="G251" s="213"/>
    </row>
    <row r="252" spans="1:24" x14ac:dyDescent="0.2">
      <c r="A252" s="50" t="s">
        <v>1276</v>
      </c>
      <c r="B252" s="98" t="s">
        <v>1277</v>
      </c>
      <c r="C252" s="102">
        <v>40</v>
      </c>
      <c r="D252" s="162">
        <v>34</v>
      </c>
      <c r="E252" s="102">
        <v>35</v>
      </c>
      <c r="F252" s="209"/>
      <c r="G252" s="213"/>
    </row>
    <row r="253" spans="1:24" x14ac:dyDescent="0.2">
      <c r="A253" s="50" t="s">
        <v>758</v>
      </c>
      <c r="B253" s="98" t="s">
        <v>526</v>
      </c>
      <c r="C253" s="104">
        <v>33</v>
      </c>
      <c r="D253" s="102">
        <v>34</v>
      </c>
      <c r="E253" s="102"/>
      <c r="F253" s="210"/>
      <c r="G253" s="213"/>
    </row>
    <row r="254" spans="1:24" ht="15" x14ac:dyDescent="0.25">
      <c r="A254" s="51" t="s">
        <v>758</v>
      </c>
      <c r="B254" s="99" t="s">
        <v>1019</v>
      </c>
      <c r="C254" s="104">
        <v>6.37</v>
      </c>
      <c r="D254" s="131"/>
      <c r="E254" s="126"/>
      <c r="F254" s="209"/>
      <c r="G254" s="213"/>
    </row>
    <row r="255" spans="1:24" ht="15" x14ac:dyDescent="0.25">
      <c r="A255" s="50" t="s">
        <v>795</v>
      </c>
      <c r="B255" s="98" t="s">
        <v>945</v>
      </c>
      <c r="C255" s="102">
        <v>97</v>
      </c>
      <c r="D255" s="102">
        <v>80.84</v>
      </c>
      <c r="E255" s="102"/>
      <c r="F255" s="208"/>
      <c r="G255" s="213"/>
    </row>
    <row r="256" spans="1:24" ht="15" x14ac:dyDescent="0.25">
      <c r="A256" s="50" t="s">
        <v>797</v>
      </c>
      <c r="B256" s="98" t="s">
        <v>1310</v>
      </c>
      <c r="C256" s="102">
        <v>13</v>
      </c>
      <c r="D256" s="128"/>
      <c r="E256" s="102"/>
      <c r="F256" s="208"/>
      <c r="G256" s="213"/>
    </row>
    <row r="257" spans="1:7" ht="15" x14ac:dyDescent="0.25">
      <c r="A257" s="50" t="s">
        <v>1506</v>
      </c>
      <c r="B257" s="98" t="s">
        <v>462</v>
      </c>
      <c r="C257" s="102">
        <v>19</v>
      </c>
      <c r="D257" s="162"/>
      <c r="E257" s="102"/>
      <c r="F257" s="208"/>
      <c r="G257" s="213"/>
    </row>
    <row r="258" spans="1:7" x14ac:dyDescent="0.2">
      <c r="A258" s="50" t="s">
        <v>1278</v>
      </c>
      <c r="B258" s="98" t="s">
        <v>462</v>
      </c>
      <c r="C258" s="102">
        <v>44</v>
      </c>
      <c r="D258" s="128"/>
      <c r="E258" s="102"/>
      <c r="F258" s="211"/>
      <c r="G258" s="213"/>
    </row>
    <row r="259" spans="1:7" ht="15" x14ac:dyDescent="0.25">
      <c r="A259" s="51" t="s">
        <v>1371</v>
      </c>
      <c r="B259" s="99" t="s">
        <v>463</v>
      </c>
      <c r="C259" s="104">
        <v>51</v>
      </c>
      <c r="D259" s="104"/>
      <c r="E259" s="126"/>
      <c r="F259" s="208"/>
      <c r="G259" s="213"/>
    </row>
    <row r="260" spans="1:7" ht="15" x14ac:dyDescent="0.25">
      <c r="A260" s="51" t="s">
        <v>1423</v>
      </c>
      <c r="B260" s="99" t="s">
        <v>1424</v>
      </c>
      <c r="C260" s="104">
        <v>5.14</v>
      </c>
      <c r="D260" s="104"/>
      <c r="E260" s="126"/>
      <c r="F260" s="208"/>
      <c r="G260" s="213"/>
    </row>
    <row r="261" spans="1:7" ht="15" x14ac:dyDescent="0.25">
      <c r="A261" s="50" t="s">
        <v>622</v>
      </c>
      <c r="B261" s="98" t="s">
        <v>757</v>
      </c>
      <c r="C261" s="102">
        <v>5.0999999999999996</v>
      </c>
      <c r="D261" s="128">
        <v>5.7</v>
      </c>
      <c r="E261" s="102"/>
      <c r="F261" s="208"/>
      <c r="G261" s="213"/>
    </row>
    <row r="262" spans="1:7" ht="15" x14ac:dyDescent="0.25">
      <c r="A262" s="51" t="s">
        <v>1514</v>
      </c>
      <c r="B262" s="99" t="s">
        <v>463</v>
      </c>
      <c r="C262" s="104">
        <v>52</v>
      </c>
      <c r="D262" s="104"/>
      <c r="E262" s="126"/>
      <c r="F262" s="208"/>
      <c r="G262" s="213"/>
    </row>
    <row r="263" spans="1:7" ht="15" x14ac:dyDescent="0.25">
      <c r="A263" s="51" t="s">
        <v>1561</v>
      </c>
      <c r="B263" s="99">
        <v>1</v>
      </c>
      <c r="C263" s="104">
        <v>21</v>
      </c>
      <c r="D263" s="104"/>
      <c r="E263" s="126"/>
      <c r="F263" s="208"/>
      <c r="G263" s="213"/>
    </row>
    <row r="264" spans="1:7" ht="15" x14ac:dyDescent="0.25">
      <c r="A264" s="51" t="s">
        <v>1560</v>
      </c>
      <c r="B264" s="99" t="s">
        <v>463</v>
      </c>
      <c r="C264" s="104">
        <v>33</v>
      </c>
      <c r="D264" s="104"/>
      <c r="E264" s="126"/>
      <c r="F264" s="208"/>
      <c r="G264" s="213"/>
    </row>
    <row r="265" spans="1:7" ht="15" x14ac:dyDescent="0.25">
      <c r="A265" s="51" t="s">
        <v>1370</v>
      </c>
      <c r="B265" s="99" t="s">
        <v>463</v>
      </c>
      <c r="C265" s="104">
        <v>25</v>
      </c>
      <c r="D265" s="104"/>
      <c r="E265" s="126"/>
      <c r="F265" s="208"/>
      <c r="G265" s="213"/>
    </row>
    <row r="266" spans="1:7" ht="15" x14ac:dyDescent="0.25">
      <c r="A266" s="50" t="s">
        <v>1571</v>
      </c>
      <c r="B266" s="98" t="s">
        <v>463</v>
      </c>
      <c r="C266" s="104">
        <v>21</v>
      </c>
      <c r="D266" s="104"/>
      <c r="E266" s="126"/>
      <c r="F266" s="208"/>
      <c r="G266" s="213"/>
    </row>
    <row r="267" spans="1:7" ht="15" x14ac:dyDescent="0.25">
      <c r="A267" s="51" t="s">
        <v>559</v>
      </c>
      <c r="B267" s="99" t="s">
        <v>560</v>
      </c>
      <c r="C267" s="104">
        <v>69</v>
      </c>
      <c r="D267" s="104"/>
      <c r="E267" s="126"/>
      <c r="F267" s="208"/>
      <c r="G267" s="213"/>
    </row>
    <row r="268" spans="1:7" ht="15" x14ac:dyDescent="0.25">
      <c r="A268" s="51" t="s">
        <v>1420</v>
      </c>
      <c r="B268" s="99">
        <v>300</v>
      </c>
      <c r="C268" s="104">
        <v>122.89</v>
      </c>
      <c r="D268" s="104"/>
      <c r="E268" s="126"/>
      <c r="F268" s="208"/>
      <c r="G268" s="213"/>
    </row>
    <row r="269" spans="1:7" ht="15" x14ac:dyDescent="0.25">
      <c r="A269" s="50" t="s">
        <v>1304</v>
      </c>
      <c r="B269" s="98" t="s">
        <v>463</v>
      </c>
      <c r="C269" s="102">
        <v>39.4</v>
      </c>
      <c r="D269" s="102"/>
      <c r="E269" s="102"/>
      <c r="F269" s="208"/>
      <c r="G269" s="213"/>
    </row>
    <row r="270" spans="1:7" ht="15" x14ac:dyDescent="0.25">
      <c r="A270" s="50" t="s">
        <v>1257</v>
      </c>
      <c r="B270" s="98" t="s">
        <v>917</v>
      </c>
      <c r="C270" s="102">
        <v>5</v>
      </c>
      <c r="D270" s="102"/>
      <c r="E270" s="102"/>
      <c r="F270" s="208"/>
      <c r="G270" s="213"/>
    </row>
    <row r="271" spans="1:7" ht="15" x14ac:dyDescent="0.25">
      <c r="A271" s="50" t="s">
        <v>1257</v>
      </c>
      <c r="B271" s="98" t="s">
        <v>1475</v>
      </c>
      <c r="C271" s="102">
        <v>8.4</v>
      </c>
      <c r="D271" s="102"/>
      <c r="E271" s="102"/>
      <c r="F271" s="208"/>
      <c r="G271" s="213"/>
    </row>
    <row r="272" spans="1:7" ht="15" x14ac:dyDescent="0.25">
      <c r="A272" s="50" t="s">
        <v>1258</v>
      </c>
      <c r="B272" s="98">
        <v>1</v>
      </c>
      <c r="C272" s="102">
        <v>21</v>
      </c>
      <c r="D272" s="102"/>
      <c r="E272" s="102"/>
      <c r="F272" s="208"/>
      <c r="G272" s="213"/>
    </row>
    <row r="273" spans="1:7" ht="15" x14ac:dyDescent="0.25">
      <c r="A273" s="50" t="s">
        <v>1477</v>
      </c>
      <c r="B273" s="98" t="s">
        <v>1021</v>
      </c>
      <c r="C273" s="102">
        <v>21</v>
      </c>
      <c r="D273" s="102"/>
      <c r="E273" s="102"/>
      <c r="F273" s="208"/>
      <c r="G273" s="213"/>
    </row>
    <row r="274" spans="1:7" ht="15" x14ac:dyDescent="0.25">
      <c r="A274" s="51" t="s">
        <v>146</v>
      </c>
      <c r="B274" s="99" t="s">
        <v>1019</v>
      </c>
      <c r="C274" s="104">
        <v>18</v>
      </c>
      <c r="D274" s="104"/>
      <c r="E274" s="126"/>
      <c r="F274" s="208"/>
      <c r="G274" s="213"/>
    </row>
    <row r="275" spans="1:7" ht="15" x14ac:dyDescent="0.25">
      <c r="A275" s="51" t="s">
        <v>1516</v>
      </c>
      <c r="B275" s="98" t="s">
        <v>1019</v>
      </c>
      <c r="C275" s="102">
        <v>50</v>
      </c>
      <c r="D275" s="102"/>
      <c r="E275" s="102"/>
      <c r="F275" s="208"/>
      <c r="G275" s="213"/>
    </row>
    <row r="276" spans="1:7" ht="15" x14ac:dyDescent="0.25">
      <c r="A276" s="50" t="s">
        <v>1486</v>
      </c>
      <c r="B276" s="98" t="s">
        <v>463</v>
      </c>
      <c r="C276" s="104">
        <v>19</v>
      </c>
      <c r="D276" s="104"/>
      <c r="E276" s="126"/>
      <c r="F276" s="208"/>
      <c r="G276" s="213"/>
    </row>
    <row r="277" spans="1:7" ht="15" x14ac:dyDescent="0.25">
      <c r="A277" s="50" t="s">
        <v>1305</v>
      </c>
      <c r="B277" s="98" t="s">
        <v>463</v>
      </c>
      <c r="C277" s="102">
        <v>32.33</v>
      </c>
      <c r="D277" s="102"/>
      <c r="E277" s="102"/>
      <c r="F277" s="208"/>
      <c r="G277" s="213"/>
    </row>
    <row r="278" spans="1:7" ht="15" x14ac:dyDescent="0.25">
      <c r="A278" s="51" t="s">
        <v>1562</v>
      </c>
      <c r="B278" s="99" t="s">
        <v>463</v>
      </c>
      <c r="C278" s="104">
        <v>23</v>
      </c>
      <c r="D278" s="104"/>
      <c r="E278" s="126"/>
      <c r="F278" s="208"/>
      <c r="G278" s="213"/>
    </row>
    <row r="279" spans="1:7" ht="15" x14ac:dyDescent="0.25">
      <c r="A279" s="51" t="s">
        <v>1369</v>
      </c>
      <c r="B279" s="99" t="s">
        <v>463</v>
      </c>
      <c r="C279" s="104">
        <v>32.340000000000003</v>
      </c>
      <c r="D279" s="104">
        <v>28</v>
      </c>
      <c r="E279" s="126"/>
      <c r="F279" s="208"/>
      <c r="G279" s="213"/>
    </row>
    <row r="280" spans="1:7" ht="15" x14ac:dyDescent="0.25">
      <c r="A280" s="51" t="s">
        <v>1563</v>
      </c>
      <c r="B280" s="99" t="s">
        <v>463</v>
      </c>
      <c r="C280" s="104">
        <v>21</v>
      </c>
      <c r="D280" s="104"/>
      <c r="E280" s="126"/>
      <c r="F280" s="208"/>
      <c r="G280" s="213"/>
    </row>
    <row r="281" spans="1:7" ht="15" x14ac:dyDescent="0.25">
      <c r="A281" s="50" t="s">
        <v>1564</v>
      </c>
      <c r="B281" s="98" t="s">
        <v>463</v>
      </c>
      <c r="C281" s="102">
        <v>28</v>
      </c>
      <c r="D281" s="102"/>
      <c r="E281" s="102"/>
      <c r="F281" s="208"/>
      <c r="G281" s="213"/>
    </row>
    <row r="282" spans="1:7" ht="15" x14ac:dyDescent="0.25">
      <c r="A282" s="51" t="s">
        <v>1418</v>
      </c>
      <c r="B282" s="99" t="s">
        <v>516</v>
      </c>
      <c r="C282" s="104">
        <v>89</v>
      </c>
      <c r="D282" s="104"/>
      <c r="E282" s="126"/>
      <c r="F282" s="208"/>
      <c r="G282" s="213"/>
    </row>
    <row r="283" spans="1:7" ht="15" x14ac:dyDescent="0.25">
      <c r="A283" s="51" t="s">
        <v>1584</v>
      </c>
      <c r="B283" s="99" t="s">
        <v>516</v>
      </c>
      <c r="C283" s="104">
        <v>110</v>
      </c>
      <c r="D283" s="104"/>
      <c r="E283" s="126"/>
      <c r="F283" s="208"/>
      <c r="G283" s="213"/>
    </row>
    <row r="284" spans="1:7" ht="15" x14ac:dyDescent="0.25">
      <c r="A284" s="51" t="s">
        <v>1419</v>
      </c>
      <c r="B284" s="99" t="s">
        <v>516</v>
      </c>
      <c r="C284" s="104">
        <v>135</v>
      </c>
      <c r="D284" s="104"/>
      <c r="E284" s="126"/>
      <c r="F284" s="208"/>
      <c r="G284" s="213"/>
    </row>
    <row r="285" spans="1:7" ht="15" x14ac:dyDescent="0.25">
      <c r="A285" s="51" t="s">
        <v>1279</v>
      </c>
      <c r="B285" s="99" t="s">
        <v>463</v>
      </c>
      <c r="C285" s="104">
        <v>24</v>
      </c>
      <c r="D285" s="104"/>
      <c r="E285" s="126"/>
      <c r="F285" s="208"/>
      <c r="G285" s="213"/>
    </row>
    <row r="286" spans="1:7" ht="15" x14ac:dyDescent="0.25">
      <c r="A286" s="50" t="s">
        <v>1613</v>
      </c>
      <c r="B286" s="98" t="s">
        <v>1021</v>
      </c>
      <c r="C286" s="104">
        <v>21</v>
      </c>
      <c r="D286" s="104"/>
      <c r="E286" s="126"/>
      <c r="F286" s="208"/>
      <c r="G286" s="213"/>
    </row>
    <row r="287" spans="1:7" ht="15" x14ac:dyDescent="0.25">
      <c r="A287" s="50" t="s">
        <v>1614</v>
      </c>
      <c r="B287" s="98" t="s">
        <v>462</v>
      </c>
      <c r="C287" s="104">
        <v>68</v>
      </c>
      <c r="D287" s="104"/>
      <c r="E287" s="126"/>
      <c r="F287" s="208"/>
      <c r="G287" s="213"/>
    </row>
    <row r="288" spans="1:7" ht="15" x14ac:dyDescent="0.25">
      <c r="A288" s="50"/>
      <c r="B288" s="98"/>
      <c r="C288" s="104"/>
      <c r="D288" s="104"/>
      <c r="E288" s="126"/>
      <c r="F288" s="127"/>
    </row>
    <row r="289" spans="1:6" ht="15" x14ac:dyDescent="0.25">
      <c r="A289" s="50"/>
      <c r="B289" s="98"/>
      <c r="C289" s="104"/>
      <c r="D289" s="104"/>
      <c r="E289" s="126"/>
      <c r="F289" s="127"/>
    </row>
    <row r="290" spans="1:6" ht="15" x14ac:dyDescent="0.25">
      <c r="A290" s="50"/>
      <c r="B290" s="98"/>
      <c r="C290" s="104"/>
      <c r="D290" s="104"/>
      <c r="E290" s="126"/>
      <c r="F290" s="127"/>
    </row>
    <row r="291" spans="1:6" ht="15" x14ac:dyDescent="0.25">
      <c r="A291" s="51"/>
      <c r="B291" s="99"/>
      <c r="C291" s="104"/>
      <c r="D291" s="104"/>
      <c r="E291" s="126"/>
      <c r="F291" s="127"/>
    </row>
    <row r="292" spans="1:6" ht="15" x14ac:dyDescent="0.25">
      <c r="A292" s="50" t="s">
        <v>804</v>
      </c>
      <c r="B292" s="98" t="s">
        <v>20</v>
      </c>
      <c r="C292" s="104"/>
      <c r="D292" s="104"/>
      <c r="E292" s="126"/>
      <c r="F292" s="127"/>
    </row>
    <row r="293" spans="1:6" ht="15" x14ac:dyDescent="0.25">
      <c r="A293" s="50" t="s">
        <v>805</v>
      </c>
      <c r="B293" s="98" t="s">
        <v>20</v>
      </c>
      <c r="C293" s="104"/>
      <c r="D293" s="104"/>
      <c r="E293" s="126"/>
      <c r="F293" s="127"/>
    </row>
    <row r="294" spans="1:6" ht="15" x14ac:dyDescent="0.25">
      <c r="A294" s="50" t="s">
        <v>806</v>
      </c>
      <c r="B294" s="98" t="s">
        <v>20</v>
      </c>
      <c r="C294" s="104"/>
      <c r="D294" s="104"/>
      <c r="E294" s="126"/>
      <c r="F294" s="127"/>
    </row>
    <row r="295" spans="1:6" ht="15" x14ac:dyDescent="0.25">
      <c r="A295" s="50" t="s">
        <v>807</v>
      </c>
      <c r="B295" s="98" t="s">
        <v>20</v>
      </c>
      <c r="C295" s="104"/>
      <c r="D295" s="104"/>
      <c r="E295" s="126"/>
      <c r="F295" s="127"/>
    </row>
    <row r="296" spans="1:6" x14ac:dyDescent="0.2">
      <c r="A296" s="51" t="s">
        <v>699</v>
      </c>
      <c r="B296" s="99"/>
      <c r="C296" s="104"/>
      <c r="D296" s="106"/>
      <c r="E296" s="128"/>
      <c r="F296" s="123"/>
    </row>
    <row r="297" spans="1:6" x14ac:dyDescent="0.2">
      <c r="A297" s="51" t="s">
        <v>700</v>
      </c>
      <c r="B297" s="99" t="s">
        <v>20</v>
      </c>
      <c r="C297" s="106"/>
      <c r="D297" s="106"/>
      <c r="E297" s="128"/>
      <c r="F297" s="123"/>
    </row>
    <row r="298" spans="1:6" x14ac:dyDescent="0.2">
      <c r="A298" s="52" t="s">
        <v>598</v>
      </c>
      <c r="B298" s="100" t="s">
        <v>496</v>
      </c>
      <c r="C298" s="106"/>
      <c r="D298" s="106"/>
      <c r="E298" s="128"/>
      <c r="F298" s="123"/>
    </row>
    <row r="299" spans="1:6" x14ac:dyDescent="0.2">
      <c r="A299" s="51" t="s">
        <v>512</v>
      </c>
      <c r="B299" s="99" t="s">
        <v>20</v>
      </c>
      <c r="C299" s="106"/>
      <c r="D299" s="106"/>
      <c r="E299" s="128"/>
      <c r="F299" s="123"/>
    </row>
    <row r="300" spans="1:6" x14ac:dyDescent="0.2">
      <c r="A300" s="51" t="s">
        <v>1064</v>
      </c>
      <c r="B300" s="98" t="s">
        <v>463</v>
      </c>
      <c r="C300" s="106"/>
      <c r="D300" s="106"/>
      <c r="E300" s="128"/>
      <c r="F300" s="123"/>
    </row>
    <row r="301" spans="1:6" x14ac:dyDescent="0.2">
      <c r="A301" s="51" t="s">
        <v>513</v>
      </c>
      <c r="B301" s="99"/>
      <c r="C301" s="106"/>
      <c r="D301" s="106"/>
      <c r="E301" s="128"/>
      <c r="F301" s="123"/>
    </row>
    <row r="302" spans="1:6" x14ac:dyDescent="0.2">
      <c r="A302" s="51" t="s">
        <v>597</v>
      </c>
      <c r="B302" s="99"/>
      <c r="C302" s="106"/>
      <c r="D302" s="106"/>
      <c r="E302" s="128"/>
      <c r="F302" s="123"/>
    </row>
    <row r="303" spans="1:6" x14ac:dyDescent="0.2">
      <c r="A303" s="51" t="s">
        <v>514</v>
      </c>
      <c r="B303" s="99"/>
      <c r="C303" s="106"/>
      <c r="D303" s="106"/>
      <c r="E303" s="128"/>
      <c r="F303" s="123"/>
    </row>
    <row r="304" spans="1:6" x14ac:dyDescent="0.2">
      <c r="A304" s="51" t="s">
        <v>633</v>
      </c>
      <c r="B304" s="99"/>
      <c r="C304" s="106"/>
      <c r="D304" s="106"/>
      <c r="E304" s="128"/>
      <c r="F304" s="123"/>
    </row>
    <row r="305" spans="1:6" x14ac:dyDescent="0.2">
      <c r="A305" s="51" t="s">
        <v>555</v>
      </c>
      <c r="B305" s="99" t="s">
        <v>20</v>
      </c>
      <c r="C305" s="106"/>
      <c r="D305" s="106"/>
      <c r="E305" s="128"/>
      <c r="F305" s="123"/>
    </row>
    <row r="306" spans="1:6" x14ac:dyDescent="0.2">
      <c r="A306" s="51" t="s">
        <v>452</v>
      </c>
      <c r="B306" s="99"/>
      <c r="C306" s="106"/>
      <c r="D306" s="106"/>
      <c r="E306" s="128"/>
      <c r="F306" s="123"/>
    </row>
    <row r="307" spans="1:6" x14ac:dyDescent="0.2">
      <c r="A307" s="51" t="s">
        <v>1024</v>
      </c>
      <c r="B307" s="99" t="s">
        <v>496</v>
      </c>
      <c r="C307" s="106"/>
      <c r="D307" s="106"/>
      <c r="E307" s="128"/>
      <c r="F307" s="123"/>
    </row>
    <row r="308" spans="1:6" x14ac:dyDescent="0.2">
      <c r="A308" s="51" t="s">
        <v>788</v>
      </c>
      <c r="B308" s="99" t="s">
        <v>20</v>
      </c>
      <c r="C308" s="106"/>
      <c r="D308" s="106"/>
      <c r="E308" s="128"/>
      <c r="F308" s="123"/>
    </row>
    <row r="309" spans="1:6" x14ac:dyDescent="0.2">
      <c r="A309" s="51" t="s">
        <v>518</v>
      </c>
      <c r="B309" s="99" t="s">
        <v>519</v>
      </c>
      <c r="C309" s="106"/>
      <c r="D309" s="106"/>
      <c r="E309" s="128"/>
      <c r="F309" s="123"/>
    </row>
    <row r="310" spans="1:6" x14ac:dyDescent="0.2">
      <c r="A310" s="51" t="s">
        <v>656</v>
      </c>
      <c r="B310" s="99"/>
      <c r="C310" s="106"/>
      <c r="D310" s="106"/>
      <c r="E310" s="128"/>
      <c r="F310" s="123"/>
    </row>
    <row r="311" spans="1:6" x14ac:dyDescent="0.2">
      <c r="A311" s="51" t="s">
        <v>540</v>
      </c>
      <c r="B311" s="99" t="s">
        <v>541</v>
      </c>
      <c r="C311" s="106"/>
      <c r="D311" s="106"/>
      <c r="E311" s="128"/>
      <c r="F311" s="123"/>
    </row>
    <row r="312" spans="1:6" x14ac:dyDescent="0.2">
      <c r="A312" s="51" t="s">
        <v>678</v>
      </c>
      <c r="B312" s="99"/>
      <c r="C312" s="106"/>
      <c r="D312" s="106"/>
      <c r="E312" s="128"/>
      <c r="F312" s="123"/>
    </row>
    <row r="313" spans="1:6" x14ac:dyDescent="0.2">
      <c r="A313" s="51" t="s">
        <v>784</v>
      </c>
      <c r="B313" s="99"/>
      <c r="C313" s="106"/>
      <c r="D313" s="106"/>
      <c r="E313" s="128"/>
      <c r="F313" s="123"/>
    </row>
    <row r="314" spans="1:6" x14ac:dyDescent="0.2">
      <c r="A314" s="51" t="s">
        <v>1025</v>
      </c>
      <c r="B314" s="99" t="s">
        <v>1019</v>
      </c>
      <c r="C314" s="106"/>
      <c r="D314" s="106"/>
      <c r="E314" s="128"/>
      <c r="F314" s="123"/>
    </row>
    <row r="315" spans="1:6" x14ac:dyDescent="0.2">
      <c r="A315" s="51" t="s">
        <v>1026</v>
      </c>
      <c r="B315" s="99" t="s">
        <v>1019</v>
      </c>
      <c r="C315" s="106"/>
      <c r="D315" s="106"/>
      <c r="E315" s="128"/>
      <c r="F315" s="123"/>
    </row>
    <row r="316" spans="1:6" x14ac:dyDescent="0.2">
      <c r="A316" s="51" t="s">
        <v>128</v>
      </c>
      <c r="B316" s="99"/>
      <c r="C316" s="106"/>
      <c r="D316" s="106"/>
      <c r="E316" s="128"/>
      <c r="F316" s="123"/>
    </row>
    <row r="317" spans="1:6" x14ac:dyDescent="0.2">
      <c r="A317" s="51" t="s">
        <v>614</v>
      </c>
      <c r="B317" s="99"/>
      <c r="C317" s="106"/>
      <c r="D317" s="106"/>
      <c r="E317" s="128"/>
      <c r="F317" s="123"/>
    </row>
    <row r="318" spans="1:6" x14ac:dyDescent="0.2">
      <c r="A318" s="51" t="s">
        <v>664</v>
      </c>
      <c r="B318" s="99"/>
      <c r="C318" s="106"/>
      <c r="D318" s="106"/>
      <c r="E318" s="128"/>
      <c r="F318" s="123"/>
    </row>
    <row r="319" spans="1:6" x14ac:dyDescent="0.2">
      <c r="A319" s="51" t="s">
        <v>813</v>
      </c>
      <c r="B319" s="99"/>
      <c r="C319" s="106"/>
      <c r="D319" s="106"/>
      <c r="E319" s="128"/>
      <c r="F319" s="123"/>
    </row>
    <row r="320" spans="1:6" x14ac:dyDescent="0.2">
      <c r="A320" s="51" t="s">
        <v>786</v>
      </c>
      <c r="B320" s="99"/>
      <c r="C320" s="106"/>
      <c r="D320" s="106"/>
      <c r="E320" s="128"/>
      <c r="F320" s="123"/>
    </row>
    <row r="321" spans="1:6" x14ac:dyDescent="0.2">
      <c r="A321" s="51" t="s">
        <v>822</v>
      </c>
      <c r="B321" s="99"/>
      <c r="C321" s="106"/>
      <c r="D321" s="106"/>
      <c r="E321" s="128"/>
      <c r="F321" s="123"/>
    </row>
    <row r="322" spans="1:6" x14ac:dyDescent="0.2">
      <c r="A322" s="51" t="s">
        <v>785</v>
      </c>
      <c r="B322" s="99" t="s">
        <v>533</v>
      </c>
      <c r="C322" s="106"/>
      <c r="D322" s="106"/>
      <c r="E322" s="128"/>
      <c r="F322" s="123"/>
    </row>
    <row r="323" spans="1:6" x14ac:dyDescent="0.2">
      <c r="A323" s="51" t="s">
        <v>823</v>
      </c>
      <c r="B323" s="99"/>
      <c r="C323" s="106"/>
      <c r="D323" s="106"/>
      <c r="E323" s="128"/>
      <c r="F323" s="123"/>
    </row>
    <row r="324" spans="1:6" x14ac:dyDescent="0.2">
      <c r="A324" s="51" t="s">
        <v>824</v>
      </c>
      <c r="B324" s="99"/>
      <c r="C324" s="106"/>
      <c r="D324" s="106"/>
      <c r="E324" s="128"/>
      <c r="F324" s="123"/>
    </row>
    <row r="325" spans="1:6" x14ac:dyDescent="0.2">
      <c r="A325" s="51" t="s">
        <v>615</v>
      </c>
      <c r="B325" s="99"/>
      <c r="C325" s="106"/>
      <c r="D325" s="106"/>
      <c r="E325" s="128"/>
      <c r="F325" s="123"/>
    </row>
    <row r="326" spans="1:6" x14ac:dyDescent="0.2">
      <c r="A326" s="50" t="s">
        <v>657</v>
      </c>
      <c r="B326" s="99"/>
      <c r="C326" s="106"/>
      <c r="D326" s="106"/>
      <c r="E326" s="128"/>
      <c r="F326" s="123"/>
    </row>
    <row r="327" spans="1:6" x14ac:dyDescent="0.2">
      <c r="A327" s="51" t="s">
        <v>641</v>
      </c>
      <c r="B327" s="99" t="s">
        <v>463</v>
      </c>
      <c r="C327" s="106"/>
      <c r="D327" s="106"/>
      <c r="E327" s="128"/>
      <c r="F327" s="123"/>
    </row>
    <row r="328" spans="1:6" x14ac:dyDescent="0.2">
      <c r="A328" s="51" t="s">
        <v>701</v>
      </c>
      <c r="B328" s="99"/>
      <c r="C328" s="106"/>
      <c r="D328" s="106"/>
      <c r="E328" s="128"/>
      <c r="F328" s="123"/>
    </row>
    <row r="329" spans="1:6" x14ac:dyDescent="0.2">
      <c r="A329" s="51" t="s">
        <v>504</v>
      </c>
      <c r="B329" s="99"/>
      <c r="C329" s="106"/>
      <c r="D329" s="106"/>
      <c r="E329" s="128"/>
      <c r="F329" s="123"/>
    </row>
    <row r="330" spans="1:6" x14ac:dyDescent="0.2">
      <c r="A330" s="51" t="s">
        <v>601</v>
      </c>
      <c r="B330" s="99" t="s">
        <v>463</v>
      </c>
      <c r="C330" s="106"/>
      <c r="D330" s="106"/>
      <c r="E330" s="128"/>
      <c r="F330" s="123"/>
    </row>
    <row r="331" spans="1:6" x14ac:dyDescent="0.2">
      <c r="A331" s="51" t="s">
        <v>464</v>
      </c>
      <c r="B331" s="99"/>
      <c r="C331" s="106"/>
      <c r="D331" s="106"/>
      <c r="E331" s="128"/>
      <c r="F331" s="123"/>
    </row>
    <row r="332" spans="1:6" x14ac:dyDescent="0.2">
      <c r="A332" s="50" t="s">
        <v>915</v>
      </c>
      <c r="B332" s="99"/>
      <c r="C332" s="106"/>
      <c r="D332" s="106"/>
      <c r="E332" s="128"/>
      <c r="F332" s="123"/>
    </row>
    <row r="333" spans="1:6" x14ac:dyDescent="0.2">
      <c r="A333" s="51" t="s">
        <v>145</v>
      </c>
      <c r="B333" s="99" t="s">
        <v>20</v>
      </c>
      <c r="C333" s="106"/>
      <c r="D333" s="106"/>
      <c r="E333" s="128"/>
      <c r="F333" s="123"/>
    </row>
    <row r="334" spans="1:6" x14ac:dyDescent="0.2">
      <c r="A334" s="51" t="s">
        <v>538</v>
      </c>
      <c r="B334" s="99"/>
      <c r="C334" s="106"/>
      <c r="D334" s="106"/>
      <c r="E334" s="128"/>
      <c r="F334" s="123"/>
    </row>
    <row r="335" spans="1:6" x14ac:dyDescent="0.2">
      <c r="A335" s="51" t="s">
        <v>679</v>
      </c>
      <c r="B335" s="99"/>
      <c r="C335" s="106"/>
      <c r="D335" s="106"/>
      <c r="E335" s="128"/>
      <c r="F335" s="123"/>
    </row>
    <row r="336" spans="1:6" x14ac:dyDescent="0.2">
      <c r="A336" s="51" t="s">
        <v>631</v>
      </c>
      <c r="B336" s="99"/>
      <c r="C336" s="106"/>
      <c r="D336" s="106"/>
      <c r="E336" s="128"/>
      <c r="F336" s="123"/>
    </row>
    <row r="337" spans="1:6" x14ac:dyDescent="0.2">
      <c r="A337" s="51" t="s">
        <v>623</v>
      </c>
      <c r="B337" s="99"/>
      <c r="C337" s="106"/>
      <c r="D337" s="106"/>
      <c r="E337" s="128"/>
      <c r="F337" s="123"/>
    </row>
    <row r="338" spans="1:6" x14ac:dyDescent="0.2">
      <c r="A338" s="51" t="s">
        <v>535</v>
      </c>
      <c r="B338" s="99" t="s">
        <v>536</v>
      </c>
      <c r="C338" s="106"/>
      <c r="D338" s="106"/>
      <c r="E338" s="128"/>
      <c r="F338" s="123"/>
    </row>
    <row r="339" spans="1:6" x14ac:dyDescent="0.2">
      <c r="A339" s="51" t="s">
        <v>542</v>
      </c>
      <c r="B339" s="99" t="s">
        <v>543</v>
      </c>
      <c r="C339" s="106"/>
      <c r="D339" s="106"/>
      <c r="E339" s="128"/>
      <c r="F339" s="123"/>
    </row>
    <row r="340" spans="1:6" x14ac:dyDescent="0.2">
      <c r="A340" s="51" t="s">
        <v>1030</v>
      </c>
      <c r="B340" s="99">
        <v>2.5</v>
      </c>
      <c r="C340" s="106"/>
      <c r="D340" s="106"/>
      <c r="E340" s="128"/>
      <c r="F340" s="123"/>
    </row>
    <row r="341" spans="1:6" x14ac:dyDescent="0.2">
      <c r="A341" s="51" t="s">
        <v>465</v>
      </c>
      <c r="B341" s="99"/>
      <c r="C341" s="106"/>
      <c r="D341" s="106"/>
      <c r="E341" s="128"/>
      <c r="F341" s="123"/>
    </row>
    <row r="342" spans="1:6" x14ac:dyDescent="0.2">
      <c r="A342" s="50" t="s">
        <v>919</v>
      </c>
      <c r="B342" s="98" t="s">
        <v>917</v>
      </c>
      <c r="C342" s="106"/>
      <c r="D342" s="106"/>
      <c r="E342" s="128"/>
      <c r="F342" s="123"/>
    </row>
    <row r="343" spans="1:6" x14ac:dyDescent="0.2">
      <c r="A343" s="50" t="s">
        <v>920</v>
      </c>
      <c r="B343" s="98" t="s">
        <v>917</v>
      </c>
      <c r="C343" s="106"/>
      <c r="D343" s="106"/>
      <c r="E343" s="128"/>
      <c r="F343" s="123"/>
    </row>
    <row r="344" spans="1:6" x14ac:dyDescent="0.2">
      <c r="A344" s="50" t="s">
        <v>918</v>
      </c>
      <c r="B344" s="98" t="s">
        <v>917</v>
      </c>
      <c r="C344" s="106"/>
      <c r="D344" s="106"/>
      <c r="E344" s="128"/>
      <c r="F344" s="123"/>
    </row>
    <row r="345" spans="1:6" x14ac:dyDescent="0.2">
      <c r="A345" s="51" t="s">
        <v>680</v>
      </c>
      <c r="B345" s="99"/>
      <c r="C345" s="106"/>
      <c r="D345" s="106"/>
      <c r="E345" s="128"/>
      <c r="F345" s="123"/>
    </row>
    <row r="346" spans="1:6" x14ac:dyDescent="0.2">
      <c r="A346" s="51" t="s">
        <v>448</v>
      </c>
      <c r="B346" s="99"/>
      <c r="C346" s="106"/>
      <c r="D346" s="106"/>
      <c r="E346" s="128"/>
      <c r="F346" s="123"/>
    </row>
    <row r="347" spans="1:6" x14ac:dyDescent="0.2">
      <c r="A347" s="51" t="s">
        <v>537</v>
      </c>
      <c r="B347" s="99" t="s">
        <v>463</v>
      </c>
      <c r="C347" s="106"/>
      <c r="D347" s="106"/>
      <c r="E347" s="128"/>
      <c r="F347" s="123"/>
    </row>
    <row r="348" spans="1:6" x14ac:dyDescent="0.2">
      <c r="A348" s="51" t="s">
        <v>515</v>
      </c>
      <c r="B348" s="99" t="s">
        <v>516</v>
      </c>
      <c r="C348" s="106"/>
      <c r="D348" s="106"/>
      <c r="E348" s="128"/>
      <c r="F348" s="123"/>
    </row>
    <row r="349" spans="1:6" x14ac:dyDescent="0.2">
      <c r="A349" s="50" t="s">
        <v>756</v>
      </c>
      <c r="B349" s="98" t="s">
        <v>20</v>
      </c>
      <c r="C349" s="106"/>
      <c r="D349" s="106"/>
      <c r="E349" s="128"/>
      <c r="F349" s="123"/>
    </row>
    <row r="350" spans="1:6" x14ac:dyDescent="0.2">
      <c r="A350" s="51" t="s">
        <v>747</v>
      </c>
      <c r="B350" s="99" t="s">
        <v>20</v>
      </c>
      <c r="C350" s="106"/>
      <c r="D350" s="106"/>
      <c r="E350" s="128"/>
      <c r="F350" s="123"/>
    </row>
    <row r="351" spans="1:6" x14ac:dyDescent="0.2">
      <c r="A351" s="50" t="s">
        <v>923</v>
      </c>
      <c r="B351" s="99"/>
      <c r="C351" s="106"/>
      <c r="D351" s="106"/>
      <c r="E351" s="128"/>
      <c r="F351" s="123"/>
    </row>
    <row r="352" spans="1:6" x14ac:dyDescent="0.2">
      <c r="A352" s="50" t="s">
        <v>924</v>
      </c>
      <c r="B352" s="99"/>
      <c r="C352" s="106"/>
      <c r="D352" s="106"/>
      <c r="E352" s="128"/>
      <c r="F352" s="123"/>
    </row>
    <row r="353" spans="1:6" x14ac:dyDescent="0.2">
      <c r="A353" s="51" t="s">
        <v>131</v>
      </c>
      <c r="B353" s="99"/>
      <c r="C353" s="106"/>
      <c r="D353" s="106"/>
      <c r="E353" s="128"/>
      <c r="F353" s="123"/>
    </row>
    <row r="354" spans="1:6" x14ac:dyDescent="0.2">
      <c r="A354" s="51" t="s">
        <v>522</v>
      </c>
      <c r="B354" s="99" t="s">
        <v>523</v>
      </c>
      <c r="C354" s="106"/>
      <c r="D354" s="106"/>
      <c r="E354" s="128"/>
      <c r="F354" s="123"/>
    </row>
    <row r="355" spans="1:6" x14ac:dyDescent="0.2">
      <c r="A355" s="51" t="s">
        <v>1033</v>
      </c>
      <c r="B355" s="99" t="s">
        <v>463</v>
      </c>
      <c r="C355" s="106"/>
      <c r="D355" s="106"/>
      <c r="E355" s="128"/>
      <c r="F355" s="123"/>
    </row>
    <row r="356" spans="1:6" x14ac:dyDescent="0.2">
      <c r="A356" s="51" t="s">
        <v>682</v>
      </c>
      <c r="B356" s="99" t="s">
        <v>463</v>
      </c>
      <c r="C356" s="106"/>
      <c r="D356" s="106"/>
      <c r="E356" s="128"/>
      <c r="F356" s="123"/>
    </row>
    <row r="357" spans="1:6" x14ac:dyDescent="0.2">
      <c r="A357" s="51" t="s">
        <v>451</v>
      </c>
      <c r="B357" s="99"/>
      <c r="C357" s="106"/>
      <c r="D357" s="106"/>
      <c r="E357" s="128"/>
      <c r="F357" s="123"/>
    </row>
    <row r="358" spans="1:6" x14ac:dyDescent="0.2">
      <c r="A358" s="51" t="s">
        <v>602</v>
      </c>
      <c r="B358" s="99"/>
      <c r="C358" s="106"/>
      <c r="D358" s="106"/>
      <c r="E358" s="128"/>
      <c r="F358" s="123"/>
    </row>
    <row r="359" spans="1:6" x14ac:dyDescent="0.2">
      <c r="A359" s="51" t="s">
        <v>685</v>
      </c>
      <c r="B359" s="99"/>
      <c r="C359" s="106"/>
      <c r="D359" s="106"/>
      <c r="E359" s="128"/>
      <c r="F359" s="123"/>
    </row>
    <row r="360" spans="1:6" x14ac:dyDescent="0.2">
      <c r="A360" s="51" t="s">
        <v>611</v>
      </c>
      <c r="B360" s="99"/>
      <c r="C360" s="106"/>
      <c r="D360" s="106"/>
      <c r="E360" s="128"/>
      <c r="F360" s="123"/>
    </row>
    <row r="361" spans="1:6" x14ac:dyDescent="0.2">
      <c r="A361" s="51" t="s">
        <v>566</v>
      </c>
      <c r="B361" s="99"/>
      <c r="C361" s="106"/>
      <c r="D361" s="106"/>
      <c r="E361" s="128"/>
      <c r="F361" s="123"/>
    </row>
    <row r="362" spans="1:6" x14ac:dyDescent="0.2">
      <c r="A362" s="51" t="s">
        <v>558</v>
      </c>
      <c r="B362" s="99"/>
      <c r="C362" s="106"/>
      <c r="D362" s="106"/>
      <c r="E362" s="128"/>
      <c r="F362" s="123"/>
    </row>
    <row r="363" spans="1:6" x14ac:dyDescent="0.2">
      <c r="A363" s="51" t="s">
        <v>524</v>
      </c>
      <c r="B363" s="99"/>
      <c r="C363" s="106"/>
      <c r="D363" s="106"/>
      <c r="E363" s="128"/>
      <c r="F363" s="123"/>
    </row>
    <row r="364" spans="1:6" x14ac:dyDescent="0.2">
      <c r="A364" s="51" t="s">
        <v>603</v>
      </c>
      <c r="B364" s="99"/>
      <c r="C364" s="106"/>
      <c r="D364" s="106"/>
      <c r="E364" s="128"/>
      <c r="F364" s="123"/>
    </row>
    <row r="365" spans="1:6" x14ac:dyDescent="0.2">
      <c r="A365" s="51" t="s">
        <v>791</v>
      </c>
      <c r="B365" s="99"/>
      <c r="C365" s="106"/>
      <c r="D365" s="106"/>
      <c r="E365" s="128"/>
      <c r="F365" s="123"/>
    </row>
    <row r="366" spans="1:6" x14ac:dyDescent="0.2">
      <c r="A366" s="52" t="s">
        <v>527</v>
      </c>
      <c r="B366" s="99" t="s">
        <v>646</v>
      </c>
      <c r="C366" s="106"/>
      <c r="D366" s="106"/>
      <c r="E366" s="128"/>
      <c r="F366" s="123"/>
    </row>
    <row r="367" spans="1:6" x14ac:dyDescent="0.2">
      <c r="A367" s="51" t="s">
        <v>831</v>
      </c>
      <c r="B367" s="99"/>
      <c r="C367" s="106"/>
      <c r="D367" s="106"/>
      <c r="E367" s="128"/>
      <c r="F367" s="123"/>
    </row>
    <row r="368" spans="1:6" x14ac:dyDescent="0.2">
      <c r="A368" s="52" t="s">
        <v>1059</v>
      </c>
      <c r="B368" s="99" t="s">
        <v>1060</v>
      </c>
      <c r="C368" s="106"/>
      <c r="D368" s="106"/>
      <c r="E368" s="128"/>
      <c r="F368" s="123"/>
    </row>
    <row r="369" spans="1:6" x14ac:dyDescent="0.2">
      <c r="A369" s="52" t="s">
        <v>752</v>
      </c>
      <c r="B369" s="99" t="s">
        <v>753</v>
      </c>
      <c r="C369" s="106"/>
      <c r="D369" s="106"/>
      <c r="E369" s="128"/>
      <c r="F369" s="123"/>
    </row>
    <row r="370" spans="1:6" x14ac:dyDescent="0.2">
      <c r="A370" s="51" t="s">
        <v>544</v>
      </c>
      <c r="B370" s="99" t="s">
        <v>825</v>
      </c>
      <c r="C370" s="106"/>
      <c r="D370" s="106"/>
      <c r="E370" s="128"/>
      <c r="F370" s="123"/>
    </row>
    <row r="371" spans="1:6" x14ac:dyDescent="0.2">
      <c r="A371" s="51" t="s">
        <v>663</v>
      </c>
      <c r="B371" s="99"/>
      <c r="C371" s="106"/>
      <c r="D371" s="106"/>
      <c r="E371" s="128"/>
      <c r="F371" s="123"/>
    </row>
    <row r="372" spans="1:6" x14ac:dyDescent="0.2">
      <c r="A372" s="51" t="s">
        <v>517</v>
      </c>
      <c r="B372" s="99"/>
      <c r="C372" s="106"/>
      <c r="D372" s="106"/>
      <c r="E372" s="128"/>
      <c r="F372" s="123"/>
    </row>
    <row r="373" spans="1:6" x14ac:dyDescent="0.2">
      <c r="A373" s="51" t="s">
        <v>697</v>
      </c>
      <c r="B373" s="99"/>
      <c r="C373" s="106"/>
      <c r="D373" s="106"/>
      <c r="E373" s="128"/>
      <c r="F373" s="123"/>
    </row>
    <row r="374" spans="1:6" x14ac:dyDescent="0.2">
      <c r="A374" s="51" t="s">
        <v>610</v>
      </c>
      <c r="B374" s="99" t="s">
        <v>462</v>
      </c>
      <c r="C374" s="106"/>
      <c r="D374" s="106"/>
      <c r="E374" s="128"/>
      <c r="F374" s="123"/>
    </row>
    <row r="375" spans="1:6" x14ac:dyDescent="0.2">
      <c r="A375" s="51" t="s">
        <v>547</v>
      </c>
      <c r="B375" s="99" t="s">
        <v>516</v>
      </c>
      <c r="C375" s="106"/>
      <c r="D375" s="106"/>
      <c r="E375" s="128"/>
      <c r="F375" s="123"/>
    </row>
    <row r="376" spans="1:6" x14ac:dyDescent="0.2">
      <c r="A376" s="51" t="s">
        <v>455</v>
      </c>
      <c r="B376" s="99"/>
      <c r="C376" s="106"/>
      <c r="D376" s="106"/>
      <c r="E376" s="128"/>
      <c r="F376" s="123"/>
    </row>
    <row r="377" spans="1:6" x14ac:dyDescent="0.2">
      <c r="A377" s="51" t="s">
        <v>810</v>
      </c>
      <c r="B377" s="99" t="s">
        <v>20</v>
      </c>
      <c r="C377" s="106"/>
      <c r="D377" s="106"/>
      <c r="E377" s="128"/>
      <c r="F377" s="123"/>
    </row>
    <row r="378" spans="1:6" x14ac:dyDescent="0.2">
      <c r="A378" s="51" t="s">
        <v>809</v>
      </c>
      <c r="B378" s="99" t="s">
        <v>20</v>
      </c>
      <c r="C378" s="106"/>
      <c r="D378" s="106"/>
      <c r="E378" s="128"/>
      <c r="F378" s="123"/>
    </row>
    <row r="379" spans="1:6" x14ac:dyDescent="0.2">
      <c r="A379" s="51" t="s">
        <v>1017</v>
      </c>
      <c r="B379" s="99" t="s">
        <v>1018</v>
      </c>
      <c r="C379" s="106"/>
      <c r="D379" s="106"/>
      <c r="E379" s="128"/>
      <c r="F379" s="123"/>
    </row>
    <row r="380" spans="1:6" x14ac:dyDescent="0.2">
      <c r="A380" s="51" t="s">
        <v>794</v>
      </c>
      <c r="B380" s="99" t="s">
        <v>793</v>
      </c>
      <c r="C380" s="106"/>
      <c r="D380" s="106"/>
      <c r="E380" s="128"/>
      <c r="F380" s="123"/>
    </row>
    <row r="381" spans="1:6" x14ac:dyDescent="0.2">
      <c r="A381" s="51" t="s">
        <v>758</v>
      </c>
      <c r="B381" s="99" t="s">
        <v>650</v>
      </c>
      <c r="C381" s="106"/>
      <c r="D381" s="106"/>
      <c r="E381" s="128"/>
      <c r="F381" s="123"/>
    </row>
    <row r="382" spans="1:6" x14ac:dyDescent="0.2">
      <c r="A382" s="51" t="s">
        <v>642</v>
      </c>
      <c r="B382" s="99" t="s">
        <v>20</v>
      </c>
      <c r="C382" s="106"/>
      <c r="D382" s="106"/>
      <c r="E382" s="128"/>
      <c r="F382" s="123"/>
    </row>
    <row r="383" spans="1:6" x14ac:dyDescent="0.2">
      <c r="A383" s="51" t="s">
        <v>458</v>
      </c>
      <c r="B383" s="99"/>
      <c r="C383" s="106"/>
      <c r="D383" s="106"/>
      <c r="E383" s="128"/>
      <c r="F383" s="123"/>
    </row>
    <row r="384" spans="1:6" x14ac:dyDescent="0.2">
      <c r="A384" s="51" t="s">
        <v>457</v>
      </c>
      <c r="B384" s="99"/>
      <c r="C384" s="106"/>
      <c r="D384" s="106"/>
      <c r="E384" s="128"/>
      <c r="F384" s="123"/>
    </row>
    <row r="385" spans="1:6" x14ac:dyDescent="0.2">
      <c r="A385" s="51" t="s">
        <v>549</v>
      </c>
      <c r="B385" s="99" t="s">
        <v>621</v>
      </c>
      <c r="C385" s="106"/>
      <c r="D385" s="106"/>
      <c r="E385" s="128"/>
      <c r="F385" s="123"/>
    </row>
    <row r="386" spans="1:6" x14ac:dyDescent="0.2">
      <c r="A386" s="51" t="s">
        <v>625</v>
      </c>
      <c r="B386" s="99" t="s">
        <v>463</v>
      </c>
      <c r="C386" s="106"/>
      <c r="D386" s="106"/>
      <c r="E386" s="128"/>
      <c r="F386" s="123"/>
    </row>
    <row r="387" spans="1:6" x14ac:dyDescent="0.2">
      <c r="A387" s="51" t="s">
        <v>687</v>
      </c>
      <c r="B387" s="99"/>
      <c r="C387" s="106"/>
      <c r="D387" s="106"/>
      <c r="E387" s="128"/>
      <c r="F387" s="123"/>
    </row>
    <row r="388" spans="1:6" x14ac:dyDescent="0.2">
      <c r="A388" s="51" t="s">
        <v>626</v>
      </c>
      <c r="B388" s="99" t="s">
        <v>627</v>
      </c>
      <c r="C388" s="106"/>
      <c r="D388" s="106"/>
      <c r="E388" s="128"/>
      <c r="F388" s="123"/>
    </row>
    <row r="389" spans="1:6" x14ac:dyDescent="0.2">
      <c r="A389" s="51" t="s">
        <v>801</v>
      </c>
      <c r="B389" s="99" t="s">
        <v>802</v>
      </c>
      <c r="C389" s="106"/>
      <c r="D389" s="106"/>
      <c r="E389" s="128"/>
      <c r="F389" s="123"/>
    </row>
    <row r="390" spans="1:6" x14ac:dyDescent="0.2">
      <c r="A390" s="51" t="s">
        <v>799</v>
      </c>
      <c r="B390" s="99" t="s">
        <v>800</v>
      </c>
      <c r="C390" s="106"/>
      <c r="D390" s="106"/>
      <c r="E390" s="128"/>
      <c r="F390" s="123"/>
    </row>
    <row r="391" spans="1:6" x14ac:dyDescent="0.2">
      <c r="A391" s="51" t="s">
        <v>803</v>
      </c>
      <c r="B391" s="99"/>
      <c r="C391" s="106"/>
      <c r="D391" s="106"/>
      <c r="E391" s="128"/>
      <c r="F391" s="123"/>
    </row>
    <row r="392" spans="1:6" x14ac:dyDescent="0.2">
      <c r="A392" s="51" t="s">
        <v>546</v>
      </c>
      <c r="B392" s="99" t="s">
        <v>516</v>
      </c>
      <c r="C392" s="106"/>
      <c r="D392" s="106"/>
      <c r="E392" s="128"/>
      <c r="F392" s="123"/>
    </row>
    <row r="393" spans="1:6" x14ac:dyDescent="0.2">
      <c r="A393" s="51" t="s">
        <v>617</v>
      </c>
      <c r="B393" s="99" t="s">
        <v>618</v>
      </c>
      <c r="C393" s="106"/>
      <c r="D393" s="106"/>
      <c r="E393" s="128"/>
      <c r="F393" s="123"/>
    </row>
    <row r="394" spans="1:6" x14ac:dyDescent="0.2">
      <c r="A394" s="51" t="s">
        <v>821</v>
      </c>
      <c r="B394" s="99" t="s">
        <v>819</v>
      </c>
      <c r="C394" s="106"/>
      <c r="D394" s="106"/>
      <c r="E394" s="128"/>
      <c r="F394" s="123"/>
    </row>
    <row r="395" spans="1:6" x14ac:dyDescent="0.2">
      <c r="A395" s="51" t="s">
        <v>1041</v>
      </c>
      <c r="B395" s="99" t="s">
        <v>1042</v>
      </c>
      <c r="C395" s="106"/>
      <c r="D395" s="106"/>
      <c r="E395" s="128"/>
      <c r="F395" s="123"/>
    </row>
    <row r="396" spans="1:6" x14ac:dyDescent="0.2">
      <c r="C396" s="106"/>
    </row>
  </sheetData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75D3-FC27-4C4B-A2CF-7D36D7D972CF}">
  <dimension ref="A1:IV167"/>
  <sheetViews>
    <sheetView rightToLeft="1" topLeftCell="A48" zoomScaleNormal="100" workbookViewId="0">
      <selection activeCell="C39" sqref="C39"/>
    </sheetView>
  </sheetViews>
  <sheetFormatPr defaultRowHeight="12.75" x14ac:dyDescent="0.2"/>
  <cols>
    <col min="1" max="1" width="29.5703125" customWidth="1"/>
    <col min="2" max="2" width="9.42578125" customWidth="1"/>
    <col min="3" max="3" width="10.5703125" style="7" customWidth="1"/>
    <col min="4" max="4" width="8.5703125" style="7" customWidth="1"/>
    <col min="5" max="5" width="7.7109375" style="7" customWidth="1"/>
    <col min="6" max="6" width="9.7109375" style="7" customWidth="1"/>
  </cols>
  <sheetData>
    <row r="1" spans="1:256" ht="18" customHeight="1" x14ac:dyDescent="0.25">
      <c r="A1" s="63" t="s">
        <v>1067</v>
      </c>
      <c r="B1" s="63" t="s">
        <v>1170</v>
      </c>
      <c r="C1" s="217" t="s">
        <v>1068</v>
      </c>
      <c r="D1" s="218"/>
      <c r="E1" s="103" t="s">
        <v>1069</v>
      </c>
      <c r="F1" s="108" t="s">
        <v>1217</v>
      </c>
      <c r="G1" s="109"/>
      <c r="H1" s="109"/>
      <c r="I1" s="110"/>
    </row>
    <row r="2" spans="1:256" ht="12.75" customHeight="1" x14ac:dyDescent="0.2">
      <c r="A2" s="50" t="s">
        <v>1319</v>
      </c>
      <c r="B2" s="50">
        <v>1</v>
      </c>
      <c r="C2" s="111">
        <v>180</v>
      </c>
      <c r="D2" s="111"/>
      <c r="E2" s="112"/>
      <c r="F2" s="113"/>
      <c r="G2" s="113"/>
      <c r="H2" s="113"/>
      <c r="I2" s="114"/>
    </row>
    <row r="3" spans="1:256" ht="12.75" customHeight="1" x14ac:dyDescent="0.2">
      <c r="A3" s="50" t="s">
        <v>1196</v>
      </c>
      <c r="B3" s="50">
        <v>1</v>
      </c>
      <c r="C3" s="111">
        <v>5.3</v>
      </c>
      <c r="D3" s="111"/>
      <c r="E3" s="112">
        <v>5.3</v>
      </c>
      <c r="F3" s="113"/>
      <c r="G3" s="113"/>
      <c r="H3" s="113"/>
      <c r="I3" s="114"/>
    </row>
    <row r="4" spans="1:256" ht="12.75" customHeight="1" x14ac:dyDescent="0.2">
      <c r="A4" s="50" t="s">
        <v>1184</v>
      </c>
      <c r="B4" s="50" t="s">
        <v>1185</v>
      </c>
      <c r="C4" s="115"/>
      <c r="D4" s="111"/>
      <c r="E4" s="112">
        <v>24</v>
      </c>
      <c r="F4" s="113"/>
      <c r="G4" s="113"/>
      <c r="H4" s="113"/>
      <c r="I4" s="114"/>
    </row>
    <row r="5" spans="1:256" ht="12.75" customHeight="1" x14ac:dyDescent="0.2">
      <c r="A5" s="50" t="s">
        <v>1075</v>
      </c>
      <c r="B5" s="50">
        <v>1</v>
      </c>
      <c r="C5" s="115"/>
      <c r="D5" s="111"/>
      <c r="E5" s="112">
        <v>7.2</v>
      </c>
      <c r="F5" s="113"/>
      <c r="G5" s="113"/>
      <c r="H5" s="113"/>
      <c r="I5" s="114"/>
    </row>
    <row r="6" spans="1:256" ht="12.75" customHeight="1" x14ac:dyDescent="0.2">
      <c r="A6" s="50" t="s">
        <v>1076</v>
      </c>
      <c r="B6" s="50">
        <v>1</v>
      </c>
      <c r="C6" s="111"/>
      <c r="D6" s="111"/>
      <c r="E6" s="112">
        <v>3.3</v>
      </c>
      <c r="F6" s="113"/>
      <c r="G6" s="114"/>
      <c r="H6" s="113"/>
      <c r="I6" s="114"/>
    </row>
    <row r="7" spans="1:256" ht="12.75" customHeight="1" x14ac:dyDescent="0.2">
      <c r="A7" s="50" t="s">
        <v>1191</v>
      </c>
      <c r="B7" s="50" t="s">
        <v>1185</v>
      </c>
      <c r="C7" s="115"/>
      <c r="D7" s="111"/>
      <c r="E7" s="112">
        <v>82</v>
      </c>
      <c r="F7" s="114"/>
      <c r="G7" s="114"/>
      <c r="H7" s="113"/>
      <c r="I7" s="114"/>
    </row>
    <row r="8" spans="1:256" ht="12.75" customHeight="1" x14ac:dyDescent="0.2">
      <c r="A8" s="50" t="s">
        <v>1195</v>
      </c>
      <c r="B8" s="50" t="s">
        <v>1185</v>
      </c>
      <c r="C8" s="115"/>
      <c r="D8" s="111"/>
      <c r="E8" s="112">
        <v>58</v>
      </c>
      <c r="F8" s="114"/>
      <c r="G8" s="114"/>
      <c r="H8" s="113"/>
      <c r="I8" s="114"/>
    </row>
    <row r="9" spans="1:256" ht="12.75" customHeight="1" x14ac:dyDescent="0.2">
      <c r="A9" s="50" t="s">
        <v>1194</v>
      </c>
      <c r="B9" s="50">
        <v>1</v>
      </c>
      <c r="C9" s="115"/>
      <c r="D9" s="111"/>
      <c r="E9" s="112">
        <v>6.54</v>
      </c>
      <c r="F9" s="114"/>
      <c r="G9" s="113"/>
      <c r="H9" s="113"/>
      <c r="I9" s="114"/>
    </row>
    <row r="10" spans="1:256" ht="12.75" customHeight="1" x14ac:dyDescent="0.2">
      <c r="A10" s="50" t="s">
        <v>1221</v>
      </c>
      <c r="B10" s="50">
        <v>40</v>
      </c>
      <c r="C10" s="115">
        <v>2.7</v>
      </c>
      <c r="D10" s="111"/>
      <c r="E10" s="112"/>
      <c r="F10" s="114">
        <v>2.1800000000000002</v>
      </c>
      <c r="G10" s="113"/>
      <c r="H10" s="113"/>
      <c r="I10" s="114"/>
    </row>
    <row r="11" spans="1:256" ht="12.75" customHeight="1" x14ac:dyDescent="0.2">
      <c r="A11" s="50" t="s">
        <v>1221</v>
      </c>
      <c r="B11" s="50">
        <v>50</v>
      </c>
      <c r="C11" s="111"/>
      <c r="D11" s="111"/>
      <c r="E11" s="112"/>
      <c r="F11" s="113">
        <v>2.5299999999999998</v>
      </c>
      <c r="G11" s="113"/>
      <c r="H11" s="113"/>
      <c r="I11" s="114"/>
    </row>
    <row r="12" spans="1:256" ht="12.75" customHeight="1" x14ac:dyDescent="0.2">
      <c r="A12" s="50" t="s">
        <v>1165</v>
      </c>
      <c r="B12" s="50">
        <v>100</v>
      </c>
      <c r="C12" s="111">
        <v>2.5</v>
      </c>
      <c r="D12" s="111"/>
      <c r="E12" s="112"/>
      <c r="F12" s="113">
        <v>2.0299999999999998</v>
      </c>
      <c r="G12" s="116">
        <v>1.78</v>
      </c>
      <c r="H12" s="113"/>
      <c r="I12" s="114"/>
    </row>
    <row r="13" spans="1:256" ht="12.75" customHeight="1" x14ac:dyDescent="0.2">
      <c r="A13" s="50" t="s">
        <v>1178</v>
      </c>
      <c r="B13" s="50">
        <v>1</v>
      </c>
      <c r="C13" s="111">
        <v>4</v>
      </c>
      <c r="D13" s="111"/>
      <c r="E13" s="112"/>
      <c r="F13" s="116">
        <v>3.48</v>
      </c>
      <c r="G13" s="113"/>
      <c r="H13" s="113"/>
      <c r="I13" s="114"/>
    </row>
    <row r="14" spans="1:256" ht="12.75" customHeight="1" x14ac:dyDescent="0.2">
      <c r="A14" s="50" t="s">
        <v>1317</v>
      </c>
      <c r="B14" s="50">
        <v>75</v>
      </c>
      <c r="C14" s="111">
        <v>2.5</v>
      </c>
      <c r="D14" s="111"/>
      <c r="E14" s="112"/>
      <c r="F14" s="113"/>
      <c r="G14" s="113"/>
      <c r="H14" s="113"/>
      <c r="I14" s="114"/>
      <c r="IV14">
        <f>SUM(B14:IU14)</f>
        <v>77.5</v>
      </c>
    </row>
    <row r="15" spans="1:256" ht="12.75" customHeight="1" x14ac:dyDescent="0.2">
      <c r="A15" s="50" t="s">
        <v>1177</v>
      </c>
      <c r="B15" s="50">
        <v>1</v>
      </c>
      <c r="C15" s="111">
        <v>2.72</v>
      </c>
      <c r="D15" s="111"/>
      <c r="E15" s="112"/>
      <c r="F15" s="116">
        <v>2.62</v>
      </c>
      <c r="G15" s="113"/>
      <c r="H15" s="113"/>
      <c r="I15" s="114"/>
    </row>
    <row r="16" spans="1:256" ht="12.75" customHeight="1" x14ac:dyDescent="0.2">
      <c r="A16" s="50" t="s">
        <v>1316</v>
      </c>
      <c r="B16" s="50">
        <v>100</v>
      </c>
      <c r="C16" s="111">
        <v>2</v>
      </c>
      <c r="D16" s="111"/>
      <c r="E16" s="112"/>
      <c r="F16" s="113">
        <v>2.12</v>
      </c>
      <c r="G16" s="113"/>
      <c r="H16" s="113"/>
      <c r="I16" s="114"/>
    </row>
    <row r="17" spans="1:10" ht="12.75" customHeight="1" x14ac:dyDescent="0.2">
      <c r="A17" s="50" t="s">
        <v>1212</v>
      </c>
      <c r="B17" s="50">
        <v>1</v>
      </c>
      <c r="C17" s="111"/>
      <c r="D17" s="111"/>
      <c r="E17" s="112">
        <v>12</v>
      </c>
      <c r="F17" s="113"/>
      <c r="G17" s="113"/>
      <c r="H17" s="113"/>
      <c r="I17" s="114"/>
    </row>
    <row r="18" spans="1:10" ht="12.75" customHeight="1" x14ac:dyDescent="0.2">
      <c r="A18" s="50" t="s">
        <v>1284</v>
      </c>
      <c r="B18" s="50">
        <v>1</v>
      </c>
      <c r="C18" s="111"/>
      <c r="D18" s="111"/>
      <c r="E18" s="112"/>
      <c r="F18" s="113">
        <v>11</v>
      </c>
      <c r="G18" s="113">
        <v>10.5</v>
      </c>
      <c r="H18" s="113">
        <v>10.64</v>
      </c>
      <c r="I18" s="113">
        <v>9</v>
      </c>
      <c r="J18" s="125">
        <v>11.9</v>
      </c>
    </row>
    <row r="19" spans="1:10" ht="12.75" customHeight="1" x14ac:dyDescent="0.2">
      <c r="A19" s="50" t="s">
        <v>1266</v>
      </c>
      <c r="B19" s="50">
        <v>1</v>
      </c>
      <c r="C19" s="111"/>
      <c r="D19" s="111"/>
      <c r="E19" s="112"/>
      <c r="F19" s="113">
        <v>11</v>
      </c>
      <c r="G19" s="113">
        <v>11.13</v>
      </c>
      <c r="H19" s="113">
        <v>10.9</v>
      </c>
      <c r="I19" s="113">
        <v>9</v>
      </c>
    </row>
    <row r="20" spans="1:10" ht="12.75" customHeight="1" x14ac:dyDescent="0.2">
      <c r="A20" s="50" t="s">
        <v>1248</v>
      </c>
      <c r="B20" s="50">
        <v>1</v>
      </c>
      <c r="C20" s="111"/>
      <c r="D20" s="111"/>
      <c r="E20" s="112"/>
      <c r="F20" s="113">
        <v>12</v>
      </c>
      <c r="G20" s="113"/>
      <c r="H20" s="113"/>
      <c r="I20" s="114"/>
    </row>
    <row r="21" spans="1:10" ht="12.75" customHeight="1" x14ac:dyDescent="0.2">
      <c r="A21" s="50" t="s">
        <v>1342</v>
      </c>
      <c r="B21" s="50">
        <v>24</v>
      </c>
      <c r="C21" s="111"/>
      <c r="D21" s="111"/>
      <c r="E21" s="112"/>
      <c r="F21" s="113">
        <v>28.8</v>
      </c>
      <c r="G21" s="113">
        <v>28</v>
      </c>
      <c r="H21" s="113"/>
      <c r="I21" s="114"/>
    </row>
    <row r="22" spans="1:10" ht="12.75" customHeight="1" x14ac:dyDescent="0.2">
      <c r="A22" s="50" t="s">
        <v>1190</v>
      </c>
      <c r="B22" s="50">
        <v>6</v>
      </c>
      <c r="C22" s="115"/>
      <c r="D22" s="111"/>
      <c r="E22" s="112">
        <v>195</v>
      </c>
      <c r="F22" s="113"/>
      <c r="G22" s="113"/>
      <c r="H22" s="113"/>
      <c r="I22" s="114"/>
    </row>
    <row r="23" spans="1:10" ht="12.75" customHeight="1" x14ac:dyDescent="0.2">
      <c r="A23" s="50" t="s">
        <v>1289</v>
      </c>
      <c r="B23" s="50">
        <v>1</v>
      </c>
      <c r="C23" s="111">
        <v>3</v>
      </c>
      <c r="D23" s="111">
        <v>1.25</v>
      </c>
      <c r="E23" s="112"/>
      <c r="F23" s="113"/>
      <c r="G23" s="113"/>
      <c r="H23" s="113"/>
      <c r="I23" s="114"/>
    </row>
    <row r="24" spans="1:10" ht="12.75" customHeight="1" x14ac:dyDescent="0.2">
      <c r="A24" s="50" t="s">
        <v>1318</v>
      </c>
      <c r="B24" s="50">
        <v>50</v>
      </c>
      <c r="C24" s="111">
        <v>4.5</v>
      </c>
      <c r="D24" s="111"/>
      <c r="E24" s="112"/>
      <c r="F24" s="113"/>
      <c r="G24" s="113"/>
      <c r="H24" s="113"/>
      <c r="I24" s="114"/>
    </row>
    <row r="25" spans="1:10" ht="12.75" customHeight="1" x14ac:dyDescent="0.2">
      <c r="A25" s="50" t="s">
        <v>1094</v>
      </c>
      <c r="B25" s="50">
        <v>1</v>
      </c>
      <c r="C25" s="115"/>
      <c r="D25" s="111"/>
      <c r="E25" s="112">
        <v>3</v>
      </c>
      <c r="F25" s="113"/>
      <c r="G25" s="113"/>
      <c r="H25" s="113"/>
      <c r="I25" s="114"/>
    </row>
    <row r="26" spans="1:10" ht="12.75" customHeight="1" x14ac:dyDescent="0.2">
      <c r="A26" s="50" t="s">
        <v>1193</v>
      </c>
      <c r="B26" s="50">
        <v>1</v>
      </c>
      <c r="C26" s="115"/>
      <c r="D26" s="111"/>
      <c r="E26" s="112">
        <v>9</v>
      </c>
      <c r="F26" s="113"/>
      <c r="G26" s="113"/>
      <c r="H26" s="113"/>
      <c r="I26" s="114"/>
    </row>
    <row r="27" spans="1:10" ht="12.75" customHeight="1" x14ac:dyDescent="0.2">
      <c r="A27" s="50" t="s">
        <v>1445</v>
      </c>
      <c r="B27" s="50">
        <v>1</v>
      </c>
      <c r="C27" s="115"/>
      <c r="D27" s="111"/>
      <c r="E27" s="112">
        <v>7.5</v>
      </c>
      <c r="F27" s="113"/>
      <c r="G27" s="113"/>
      <c r="H27" s="113"/>
      <c r="I27" s="114"/>
    </row>
    <row r="28" spans="1:10" ht="12.75" customHeight="1" x14ac:dyDescent="0.2">
      <c r="A28" s="50" t="s">
        <v>1181</v>
      </c>
      <c r="B28" s="50">
        <v>20</v>
      </c>
      <c r="C28" s="111">
        <v>5.5</v>
      </c>
      <c r="D28" s="111">
        <v>3.4</v>
      </c>
      <c r="E28" s="112"/>
      <c r="F28" s="113"/>
      <c r="G28" s="113"/>
      <c r="H28" s="113"/>
      <c r="I28" s="114"/>
    </row>
    <row r="29" spans="1:10" ht="12.75" customHeight="1" x14ac:dyDescent="0.2">
      <c r="A29" s="50" t="s">
        <v>1315</v>
      </c>
      <c r="B29" s="50" t="s">
        <v>1164</v>
      </c>
      <c r="C29" s="111">
        <v>2.72</v>
      </c>
      <c r="D29" s="111"/>
      <c r="E29" s="112"/>
      <c r="F29" s="113">
        <v>2.8</v>
      </c>
      <c r="G29" s="116">
        <v>2.2400000000000002</v>
      </c>
      <c r="H29" s="113"/>
      <c r="I29" s="114"/>
    </row>
    <row r="30" spans="1:10" ht="12.75" customHeight="1" x14ac:dyDescent="0.2">
      <c r="A30" s="50" t="s">
        <v>1192</v>
      </c>
      <c r="B30" s="50">
        <v>1</v>
      </c>
      <c r="C30" s="115"/>
      <c r="D30" s="111"/>
      <c r="E30" s="112">
        <v>4</v>
      </c>
      <c r="F30" s="113">
        <v>7.5</v>
      </c>
      <c r="G30" s="113"/>
      <c r="H30" s="113"/>
      <c r="I30" s="114"/>
    </row>
    <row r="31" spans="1:10" ht="12.75" customHeight="1" x14ac:dyDescent="0.2">
      <c r="A31" s="50" t="s">
        <v>1099</v>
      </c>
      <c r="B31" s="50">
        <v>1</v>
      </c>
      <c r="C31" s="111">
        <v>14</v>
      </c>
      <c r="D31" s="111"/>
      <c r="E31" s="112">
        <v>14</v>
      </c>
      <c r="F31" s="113">
        <v>7.5</v>
      </c>
      <c r="G31" s="113"/>
      <c r="H31" s="113"/>
      <c r="I31" s="114"/>
    </row>
    <row r="32" spans="1:10" ht="12.75" customHeight="1" x14ac:dyDescent="0.2">
      <c r="A32" s="50" t="s">
        <v>1214</v>
      </c>
      <c r="B32" s="50" t="s">
        <v>303</v>
      </c>
      <c r="C32" s="111"/>
      <c r="D32" s="111"/>
      <c r="E32" s="112">
        <v>95</v>
      </c>
      <c r="F32" s="113"/>
      <c r="G32" s="113"/>
      <c r="H32" s="113"/>
      <c r="I32" s="114"/>
    </row>
    <row r="33" spans="1:9" ht="12.75" customHeight="1" x14ac:dyDescent="0.2">
      <c r="A33" s="50" t="s">
        <v>1417</v>
      </c>
      <c r="B33" s="50">
        <v>10</v>
      </c>
      <c r="C33" s="111"/>
      <c r="D33" s="111"/>
      <c r="E33" s="112"/>
      <c r="F33" s="113">
        <v>8</v>
      </c>
      <c r="G33" s="113"/>
      <c r="H33" s="113"/>
      <c r="I33" s="114"/>
    </row>
    <row r="34" spans="1:9" ht="12.75" customHeight="1" x14ac:dyDescent="0.2">
      <c r="A34" s="50" t="s">
        <v>1179</v>
      </c>
      <c r="B34" s="50">
        <v>135</v>
      </c>
      <c r="C34" s="111">
        <v>75.47</v>
      </c>
      <c r="D34" s="111"/>
      <c r="E34" s="112"/>
      <c r="F34" s="113"/>
      <c r="G34" s="113"/>
      <c r="H34" s="113"/>
      <c r="I34" s="114"/>
    </row>
    <row r="35" spans="1:9" ht="12.75" customHeight="1" x14ac:dyDescent="0.2">
      <c r="A35" s="50" t="s">
        <v>1173</v>
      </c>
      <c r="B35" s="50">
        <v>135</v>
      </c>
      <c r="C35" s="111">
        <v>104.14</v>
      </c>
      <c r="D35" s="111"/>
      <c r="E35" s="112"/>
      <c r="F35" s="113"/>
      <c r="G35" s="113"/>
      <c r="H35" s="113"/>
      <c r="I35" s="114"/>
    </row>
    <row r="36" spans="1:9" ht="12.75" customHeight="1" x14ac:dyDescent="0.2">
      <c r="A36" s="50" t="s">
        <v>1102</v>
      </c>
      <c r="B36" s="50">
        <v>50</v>
      </c>
      <c r="C36" s="111">
        <v>78</v>
      </c>
      <c r="D36" s="111"/>
      <c r="E36" s="112"/>
      <c r="F36" s="113"/>
      <c r="G36" s="113"/>
      <c r="H36" s="113"/>
      <c r="I36" s="114"/>
    </row>
    <row r="37" spans="1:9" ht="12.75" customHeight="1" x14ac:dyDescent="0.2">
      <c r="A37" s="50" t="s">
        <v>1243</v>
      </c>
      <c r="B37" s="50">
        <v>1000</v>
      </c>
      <c r="C37" s="111"/>
      <c r="D37" s="111"/>
      <c r="E37" s="112"/>
      <c r="F37" s="113">
        <v>70</v>
      </c>
      <c r="G37" s="113"/>
      <c r="H37" s="113"/>
      <c r="I37" s="114"/>
    </row>
    <row r="38" spans="1:9" ht="12.75" customHeight="1" x14ac:dyDescent="0.2">
      <c r="A38" s="50" t="s">
        <v>1367</v>
      </c>
      <c r="B38" s="50">
        <v>405</v>
      </c>
      <c r="C38" s="111">
        <v>149.4</v>
      </c>
      <c r="D38" s="111"/>
      <c r="E38" s="112"/>
      <c r="F38" s="113"/>
      <c r="G38" s="113"/>
      <c r="H38" s="113"/>
      <c r="I38" s="114"/>
    </row>
    <row r="39" spans="1:9" ht="12.75" customHeight="1" x14ac:dyDescent="0.2">
      <c r="A39" s="50" t="s">
        <v>1366</v>
      </c>
      <c r="B39" s="50">
        <v>240</v>
      </c>
      <c r="C39" s="111">
        <v>189</v>
      </c>
      <c r="D39" s="111"/>
      <c r="E39" s="112"/>
      <c r="F39" s="113"/>
      <c r="G39" s="113"/>
      <c r="H39" s="113"/>
      <c r="I39" s="114"/>
    </row>
    <row r="40" spans="1:9" ht="12.75" customHeight="1" x14ac:dyDescent="0.2">
      <c r="A40" s="124" t="s">
        <v>1426</v>
      </c>
      <c r="B40" s="50" t="s">
        <v>1185</v>
      </c>
      <c r="C40" s="111"/>
      <c r="D40" s="111"/>
      <c r="E40" s="112">
        <v>102</v>
      </c>
      <c r="F40" s="113"/>
      <c r="G40" s="113"/>
      <c r="H40" s="113"/>
      <c r="I40" s="113"/>
    </row>
    <row r="41" spans="1:9" ht="12.75" customHeight="1" x14ac:dyDescent="0.2">
      <c r="A41" s="50" t="s">
        <v>1172</v>
      </c>
      <c r="B41" s="50">
        <v>100</v>
      </c>
      <c r="C41" s="111">
        <v>2.9</v>
      </c>
      <c r="D41" s="111"/>
      <c r="E41" s="112"/>
      <c r="F41" s="113"/>
      <c r="G41" s="113"/>
      <c r="H41" s="113"/>
      <c r="I41" s="114"/>
    </row>
    <row r="42" spans="1:9" ht="12.75" customHeight="1" x14ac:dyDescent="0.2">
      <c r="A42" s="50" t="s">
        <v>1268</v>
      </c>
      <c r="B42" s="50" t="s">
        <v>907</v>
      </c>
      <c r="C42" s="111"/>
      <c r="D42" s="111"/>
      <c r="E42" s="112"/>
      <c r="F42" s="113">
        <v>300</v>
      </c>
      <c r="G42" s="113">
        <v>356.33</v>
      </c>
      <c r="H42" s="113">
        <v>280</v>
      </c>
      <c r="I42" s="114"/>
    </row>
    <row r="43" spans="1:9" ht="12.75" customHeight="1" x14ac:dyDescent="0.2">
      <c r="A43" s="50" t="s">
        <v>1174</v>
      </c>
      <c r="B43" s="50" t="s">
        <v>1175</v>
      </c>
      <c r="C43" s="111">
        <v>70</v>
      </c>
      <c r="D43" s="111"/>
      <c r="E43" s="112"/>
      <c r="F43" s="113"/>
      <c r="G43" s="113"/>
      <c r="H43" s="113"/>
      <c r="I43" s="114"/>
    </row>
    <row r="44" spans="1:9" ht="12.75" customHeight="1" x14ac:dyDescent="0.2">
      <c r="A44" s="50" t="s">
        <v>1110</v>
      </c>
      <c r="B44" s="50">
        <v>1</v>
      </c>
      <c r="C44" s="111"/>
      <c r="D44" s="111"/>
      <c r="E44" s="112">
        <v>4.9000000000000004</v>
      </c>
      <c r="F44" s="113"/>
      <c r="G44" s="113"/>
      <c r="H44" s="113"/>
      <c r="I44" s="114"/>
    </row>
    <row r="45" spans="1:9" ht="12.75" customHeight="1" x14ac:dyDescent="0.2">
      <c r="A45" s="50" t="s">
        <v>1166</v>
      </c>
      <c r="B45" s="50">
        <v>18</v>
      </c>
      <c r="C45" s="111">
        <v>3.4</v>
      </c>
      <c r="D45" s="111"/>
      <c r="E45" s="117"/>
      <c r="F45" s="116">
        <v>1.81</v>
      </c>
      <c r="G45" s="113"/>
      <c r="H45" s="113"/>
      <c r="I45" s="114"/>
    </row>
    <row r="46" spans="1:9" ht="12.75" customHeight="1" x14ac:dyDescent="0.2">
      <c r="A46" s="50" t="s">
        <v>1163</v>
      </c>
      <c r="B46" s="50" t="s">
        <v>1164</v>
      </c>
      <c r="C46" s="111">
        <v>44.5</v>
      </c>
      <c r="D46" s="111"/>
      <c r="E46" s="117"/>
      <c r="F46" s="113"/>
      <c r="G46" s="113"/>
      <c r="H46" s="113"/>
      <c r="I46" s="114"/>
    </row>
    <row r="47" spans="1:9" ht="12.75" customHeight="1" x14ac:dyDescent="0.2">
      <c r="A47" s="50" t="s">
        <v>1415</v>
      </c>
      <c r="B47" s="50"/>
      <c r="C47" s="111"/>
      <c r="D47" s="111"/>
      <c r="E47" s="112">
        <v>65</v>
      </c>
      <c r="F47" s="113"/>
      <c r="G47" s="113"/>
      <c r="H47" s="113"/>
      <c r="I47" s="114"/>
    </row>
    <row r="48" spans="1:9" ht="12.75" customHeight="1" x14ac:dyDescent="0.2">
      <c r="A48" s="50" t="s">
        <v>1182</v>
      </c>
      <c r="B48" s="50">
        <v>1</v>
      </c>
      <c r="C48" s="111">
        <v>55</v>
      </c>
      <c r="D48" s="111"/>
      <c r="E48" s="112"/>
      <c r="F48" s="113"/>
      <c r="G48" s="113"/>
      <c r="H48" s="113"/>
      <c r="I48" s="114"/>
    </row>
    <row r="49" spans="1:9" ht="12.75" customHeight="1" x14ac:dyDescent="0.2">
      <c r="A49" s="50" t="s">
        <v>1414</v>
      </c>
      <c r="B49" s="50">
        <v>1</v>
      </c>
      <c r="C49" s="111">
        <v>24</v>
      </c>
      <c r="D49" s="111">
        <v>22</v>
      </c>
      <c r="E49" s="112"/>
      <c r="F49" s="113"/>
      <c r="G49" s="113"/>
      <c r="H49" s="113"/>
      <c r="I49" s="114"/>
    </row>
    <row r="50" spans="1:9" ht="12.75" customHeight="1" x14ac:dyDescent="0.2">
      <c r="A50" s="50" t="s">
        <v>1409</v>
      </c>
      <c r="B50" s="50">
        <v>1000</v>
      </c>
      <c r="C50" s="111"/>
      <c r="D50" s="111"/>
      <c r="E50" s="112"/>
      <c r="F50" s="113">
        <v>170</v>
      </c>
      <c r="G50" s="113">
        <v>150</v>
      </c>
      <c r="H50" s="113"/>
      <c r="I50" s="114"/>
    </row>
    <row r="51" spans="1:9" ht="12.75" customHeight="1" x14ac:dyDescent="0.2">
      <c r="A51" s="50" t="s">
        <v>1411</v>
      </c>
      <c r="B51" s="50">
        <v>6</v>
      </c>
      <c r="C51" s="111"/>
      <c r="D51" s="111"/>
      <c r="E51" s="112"/>
      <c r="F51" s="113">
        <v>145</v>
      </c>
      <c r="G51" s="113"/>
      <c r="H51" s="113"/>
      <c r="I51" s="114"/>
    </row>
    <row r="52" spans="1:9" ht="12.75" customHeight="1" x14ac:dyDescent="0.2">
      <c r="A52" s="50" t="s">
        <v>1186</v>
      </c>
      <c r="B52" s="50">
        <v>36</v>
      </c>
      <c r="C52" s="111"/>
      <c r="D52" s="111"/>
      <c r="E52" s="112">
        <v>175</v>
      </c>
      <c r="F52" s="116">
        <v>140</v>
      </c>
      <c r="G52" s="116">
        <v>150</v>
      </c>
      <c r="H52" s="113"/>
      <c r="I52" s="114"/>
    </row>
    <row r="53" spans="1:9" ht="12.75" customHeight="1" x14ac:dyDescent="0.2">
      <c r="A53" s="50" t="s">
        <v>1189</v>
      </c>
      <c r="B53" s="50">
        <v>9000</v>
      </c>
      <c r="C53" s="115"/>
      <c r="D53" s="111"/>
      <c r="E53" s="112">
        <v>83</v>
      </c>
      <c r="F53" s="116">
        <v>60</v>
      </c>
      <c r="G53" s="113"/>
      <c r="H53" s="113"/>
      <c r="I53" s="114"/>
    </row>
    <row r="54" spans="1:9" ht="12.75" customHeight="1" x14ac:dyDescent="0.2">
      <c r="A54" s="50" t="s">
        <v>1410</v>
      </c>
      <c r="B54" s="50"/>
      <c r="C54" s="111">
        <v>95</v>
      </c>
      <c r="D54" s="111">
        <v>97</v>
      </c>
      <c r="E54" s="112"/>
      <c r="F54" s="113"/>
      <c r="G54" s="113"/>
      <c r="H54" s="113"/>
      <c r="I54" s="114"/>
    </row>
    <row r="55" spans="1:9" ht="12.75" customHeight="1" x14ac:dyDescent="0.2">
      <c r="A55" s="50" t="s">
        <v>1187</v>
      </c>
      <c r="B55" s="50">
        <v>6</v>
      </c>
      <c r="C55" s="115"/>
      <c r="D55" s="111"/>
      <c r="E55" s="112">
        <v>160</v>
      </c>
      <c r="F55" s="113">
        <v>145</v>
      </c>
      <c r="G55" s="113">
        <v>110</v>
      </c>
      <c r="H55" s="113">
        <v>95</v>
      </c>
      <c r="I55" s="113">
        <v>65</v>
      </c>
    </row>
    <row r="56" spans="1:9" ht="12.75" customHeight="1" x14ac:dyDescent="0.2">
      <c r="A56" s="50" t="s">
        <v>1188</v>
      </c>
      <c r="B56" s="50">
        <v>4000</v>
      </c>
      <c r="C56" s="115"/>
      <c r="D56" s="111"/>
      <c r="E56" s="112">
        <v>48</v>
      </c>
      <c r="F56" s="113">
        <v>48</v>
      </c>
      <c r="G56" s="116">
        <v>45</v>
      </c>
      <c r="H56" s="113"/>
      <c r="I56" s="114"/>
    </row>
    <row r="57" spans="1:9" ht="12.75" customHeight="1" x14ac:dyDescent="0.2">
      <c r="A57" s="50" t="s">
        <v>1438</v>
      </c>
      <c r="B57" s="50">
        <v>1</v>
      </c>
      <c r="C57" s="111"/>
      <c r="D57" s="111"/>
      <c r="E57" s="112"/>
      <c r="F57" s="113">
        <v>150</v>
      </c>
      <c r="G57" s="113"/>
      <c r="H57" s="113"/>
      <c r="I57" s="113"/>
    </row>
    <row r="58" spans="1:9" ht="12.75" customHeight="1" x14ac:dyDescent="0.2">
      <c r="A58" s="50" t="s">
        <v>1213</v>
      </c>
      <c r="B58" s="50">
        <v>1</v>
      </c>
      <c r="C58" s="111"/>
      <c r="D58" s="111"/>
      <c r="E58" s="112">
        <v>50</v>
      </c>
      <c r="F58" s="116">
        <v>49</v>
      </c>
      <c r="G58" s="113">
        <v>58</v>
      </c>
      <c r="H58" s="113"/>
      <c r="I58" s="114"/>
    </row>
    <row r="59" spans="1:9" ht="12.75" customHeight="1" x14ac:dyDescent="0.2">
      <c r="A59" s="50" t="s">
        <v>1314</v>
      </c>
      <c r="B59" s="50" t="s">
        <v>1185</v>
      </c>
      <c r="C59" s="111"/>
      <c r="D59" s="111"/>
      <c r="E59" s="112">
        <v>48</v>
      </c>
      <c r="F59" s="113"/>
      <c r="G59" s="113"/>
      <c r="H59" s="113"/>
      <c r="I59" s="114"/>
    </row>
    <row r="60" spans="1:9" ht="12.75" customHeight="1" x14ac:dyDescent="0.2">
      <c r="A60" s="50" t="s">
        <v>1130</v>
      </c>
      <c r="B60" s="50" t="s">
        <v>646</v>
      </c>
      <c r="C60" s="111"/>
      <c r="D60" s="111"/>
      <c r="E60" s="112"/>
      <c r="F60" s="113">
        <v>13.67</v>
      </c>
      <c r="G60" s="113">
        <v>20</v>
      </c>
      <c r="H60" s="113"/>
      <c r="I60" s="114"/>
    </row>
    <row r="61" spans="1:9" ht="12.75" customHeight="1" x14ac:dyDescent="0.2">
      <c r="A61" s="50" t="s">
        <v>1416</v>
      </c>
      <c r="B61" s="50"/>
      <c r="C61" s="111"/>
      <c r="D61" s="111"/>
      <c r="E61" s="112">
        <v>12</v>
      </c>
      <c r="F61" s="113"/>
      <c r="G61" s="113"/>
      <c r="H61" s="113"/>
      <c r="I61" s="114"/>
    </row>
    <row r="62" spans="1:9" ht="12.75" customHeight="1" x14ac:dyDescent="0.2">
      <c r="A62" s="50" t="s">
        <v>1378</v>
      </c>
      <c r="B62" s="50">
        <v>12</v>
      </c>
      <c r="C62" s="111"/>
      <c r="D62" s="111"/>
      <c r="E62" s="112">
        <v>21</v>
      </c>
      <c r="F62" s="113"/>
      <c r="G62" s="113"/>
      <c r="H62" s="113"/>
      <c r="I62" s="114"/>
    </row>
    <row r="63" spans="1:9" ht="12.75" customHeight="1" x14ac:dyDescent="0.2">
      <c r="A63" s="50" t="s">
        <v>1422</v>
      </c>
      <c r="B63" s="50">
        <v>3</v>
      </c>
      <c r="C63" s="111"/>
      <c r="D63" s="111"/>
      <c r="E63" s="112"/>
      <c r="F63" s="113">
        <v>9</v>
      </c>
      <c r="G63" s="113"/>
      <c r="H63" s="113"/>
      <c r="I63" s="113"/>
    </row>
    <row r="64" spans="1:9" ht="12.75" customHeight="1" x14ac:dyDescent="0.2">
      <c r="A64" s="50" t="s">
        <v>1320</v>
      </c>
      <c r="B64" s="50" t="s">
        <v>1164</v>
      </c>
      <c r="C64" s="111">
        <v>2.72</v>
      </c>
      <c r="D64" s="111"/>
      <c r="E64" s="112"/>
      <c r="F64" s="116">
        <v>2.2400000000000002</v>
      </c>
      <c r="G64" s="113"/>
      <c r="H64" s="113"/>
      <c r="I64" s="114"/>
    </row>
    <row r="65" spans="1:9" ht="12.75" customHeight="1" x14ac:dyDescent="0.2">
      <c r="A65" s="50" t="s">
        <v>1379</v>
      </c>
      <c r="B65" s="50">
        <v>10</v>
      </c>
      <c r="C65" s="111"/>
      <c r="D65" s="111"/>
      <c r="E65" s="112">
        <v>149</v>
      </c>
      <c r="F65" s="113"/>
      <c r="G65" s="113"/>
      <c r="H65" s="113"/>
      <c r="I65" s="114"/>
    </row>
    <row r="66" spans="1:9" ht="12.75" customHeight="1" x14ac:dyDescent="0.2">
      <c r="A66" s="50" t="s">
        <v>1139</v>
      </c>
      <c r="B66" s="50">
        <v>1</v>
      </c>
      <c r="C66" s="111"/>
      <c r="D66" s="111"/>
      <c r="E66" s="112">
        <v>14.5</v>
      </c>
      <c r="F66" s="113"/>
      <c r="G66" s="113"/>
      <c r="H66" s="113"/>
      <c r="I66" s="114"/>
    </row>
    <row r="67" spans="1:9" ht="12.75" customHeight="1" x14ac:dyDescent="0.2">
      <c r="A67" s="50" t="s">
        <v>1465</v>
      </c>
      <c r="B67" s="50">
        <v>1</v>
      </c>
      <c r="C67" s="111"/>
      <c r="D67" s="111"/>
      <c r="E67" s="112">
        <v>49</v>
      </c>
      <c r="F67" s="113"/>
      <c r="G67" s="113"/>
      <c r="H67" s="113"/>
      <c r="I67" s="113"/>
    </row>
    <row r="68" spans="1:9" ht="12.75" customHeight="1" x14ac:dyDescent="0.2">
      <c r="A68" s="50" t="s">
        <v>1168</v>
      </c>
      <c r="B68" s="50">
        <v>100</v>
      </c>
      <c r="C68" s="111">
        <v>2.1</v>
      </c>
      <c r="D68" s="111">
        <v>7</v>
      </c>
      <c r="E68" s="112"/>
      <c r="F68" s="113"/>
      <c r="G68" s="113"/>
      <c r="H68" s="113"/>
      <c r="I68" s="114"/>
    </row>
    <row r="69" spans="1:9" ht="12.75" customHeight="1" x14ac:dyDescent="0.2">
      <c r="A69" s="50" t="s">
        <v>1169</v>
      </c>
      <c r="B69" s="50">
        <v>25</v>
      </c>
      <c r="C69" s="111">
        <v>2.9</v>
      </c>
      <c r="D69" s="111"/>
      <c r="E69" s="112"/>
      <c r="F69" s="113"/>
      <c r="G69" s="113"/>
      <c r="H69" s="113"/>
      <c r="I69" s="114"/>
    </row>
    <row r="70" spans="1:9" ht="12.75" customHeight="1" x14ac:dyDescent="0.2">
      <c r="A70" s="50" t="s">
        <v>1321</v>
      </c>
      <c r="B70" s="50" t="s">
        <v>1164</v>
      </c>
      <c r="C70" s="111">
        <v>71.8</v>
      </c>
      <c r="D70" s="111"/>
      <c r="E70" s="112"/>
      <c r="F70" s="113"/>
      <c r="G70" s="113"/>
      <c r="H70" s="113"/>
      <c r="I70" s="114"/>
    </row>
    <row r="71" spans="1:9" ht="12.75" customHeight="1" x14ac:dyDescent="0.2">
      <c r="A71" s="50" t="s">
        <v>1149</v>
      </c>
      <c r="B71" s="50">
        <v>18</v>
      </c>
      <c r="C71" s="111">
        <v>2.9</v>
      </c>
      <c r="D71" s="111">
        <v>1.6</v>
      </c>
      <c r="E71" s="112"/>
      <c r="F71" s="113"/>
      <c r="G71" s="113"/>
      <c r="H71" s="113"/>
      <c r="I71" s="114"/>
    </row>
    <row r="72" spans="1:9" ht="12.75" customHeight="1" x14ac:dyDescent="0.2">
      <c r="A72" s="50" t="s">
        <v>1171</v>
      </c>
      <c r="B72" s="50">
        <v>10</v>
      </c>
      <c r="C72" s="111">
        <v>3</v>
      </c>
      <c r="D72" s="111"/>
      <c r="E72" s="112"/>
      <c r="F72" s="113"/>
      <c r="G72" s="113"/>
      <c r="H72" s="113"/>
      <c r="I72" s="114"/>
    </row>
    <row r="73" spans="1:9" ht="12.75" customHeight="1" x14ac:dyDescent="0.2">
      <c r="A73" s="50" t="s">
        <v>1167</v>
      </c>
      <c r="B73" s="50">
        <v>10</v>
      </c>
      <c r="C73" s="111">
        <v>8</v>
      </c>
      <c r="D73" s="111"/>
      <c r="E73" s="112"/>
      <c r="F73" s="113"/>
      <c r="G73" s="113"/>
      <c r="H73" s="113"/>
      <c r="I73" s="114"/>
    </row>
    <row r="74" spans="1:9" ht="12.75" customHeight="1" x14ac:dyDescent="0.2">
      <c r="A74" s="50" t="s">
        <v>1211</v>
      </c>
      <c r="B74" s="50" t="s">
        <v>1185</v>
      </c>
      <c r="C74" s="111"/>
      <c r="D74" s="111"/>
      <c r="E74" s="112">
        <v>42</v>
      </c>
      <c r="F74" s="113"/>
      <c r="G74" s="113"/>
      <c r="H74" s="113"/>
      <c r="I74" s="114"/>
    </row>
    <row r="75" spans="1:9" ht="12.75" customHeight="1" x14ac:dyDescent="0.2">
      <c r="A75" s="50" t="s">
        <v>1245</v>
      </c>
      <c r="B75" s="50" t="s">
        <v>1246</v>
      </c>
      <c r="C75" s="111"/>
      <c r="D75" s="111"/>
      <c r="E75" s="112"/>
      <c r="F75" s="113">
        <v>7</v>
      </c>
      <c r="G75" s="113"/>
      <c r="H75" s="113"/>
      <c r="I75" s="114"/>
    </row>
    <row r="76" spans="1:9" ht="12.75" customHeight="1" x14ac:dyDescent="0.2">
      <c r="A76" s="50" t="s">
        <v>1356</v>
      </c>
      <c r="B76" s="50" t="s">
        <v>1357</v>
      </c>
      <c r="C76" s="111"/>
      <c r="D76" s="111"/>
      <c r="E76" s="112"/>
      <c r="F76" s="113">
        <v>150</v>
      </c>
      <c r="G76" s="113">
        <v>115</v>
      </c>
      <c r="H76" s="113"/>
      <c r="I76" s="114"/>
    </row>
    <row r="77" spans="1:9" ht="12.75" customHeight="1" x14ac:dyDescent="0.2">
      <c r="A77" s="50" t="s">
        <v>1288</v>
      </c>
      <c r="B77" s="50"/>
      <c r="C77" s="111"/>
      <c r="D77" s="111"/>
      <c r="E77" s="112"/>
      <c r="F77" s="113"/>
      <c r="G77" s="113"/>
      <c r="H77" s="113"/>
      <c r="I77" s="114"/>
    </row>
    <row r="78" spans="1:9" ht="12.75" customHeight="1" x14ac:dyDescent="0.2">
      <c r="A78" s="50" t="s">
        <v>1180</v>
      </c>
      <c r="B78" s="50">
        <v>400</v>
      </c>
      <c r="C78" s="111">
        <v>297</v>
      </c>
      <c r="D78" s="111">
        <v>210</v>
      </c>
      <c r="E78" s="112"/>
      <c r="F78" s="113"/>
      <c r="G78" s="113"/>
      <c r="H78" s="113"/>
      <c r="I78" s="114"/>
    </row>
    <row r="79" spans="1:9" ht="12.75" customHeight="1" x14ac:dyDescent="0.2">
      <c r="A79" s="50" t="s">
        <v>1183</v>
      </c>
      <c r="B79" s="50">
        <v>600</v>
      </c>
      <c r="C79" s="111">
        <v>330</v>
      </c>
      <c r="D79" s="111"/>
      <c r="E79" s="112"/>
      <c r="F79" s="113"/>
      <c r="G79" s="113"/>
      <c r="H79" s="113"/>
      <c r="I79" s="114"/>
    </row>
    <row r="80" spans="1:9" ht="12.75" customHeight="1" x14ac:dyDescent="0.2">
      <c r="A80" s="50" t="s">
        <v>1176</v>
      </c>
      <c r="B80" s="50">
        <v>200</v>
      </c>
      <c r="C80" s="111">
        <v>1.1100000000000001</v>
      </c>
      <c r="D80" s="111"/>
      <c r="E80" s="112"/>
      <c r="F80" s="113"/>
      <c r="G80" s="113"/>
      <c r="H80" s="113"/>
      <c r="I80" s="114"/>
    </row>
    <row r="81" spans="1:9" ht="12.75" customHeight="1" x14ac:dyDescent="0.2">
      <c r="A81" s="50" t="s">
        <v>1160</v>
      </c>
      <c r="B81" s="50">
        <v>1</v>
      </c>
      <c r="C81" s="116">
        <v>2.5</v>
      </c>
      <c r="D81" s="111"/>
      <c r="E81" s="112"/>
      <c r="F81" s="113">
        <v>2.8</v>
      </c>
      <c r="G81" s="113">
        <v>2.4</v>
      </c>
      <c r="H81" s="113"/>
      <c r="I81" s="114"/>
    </row>
    <row r="82" spans="1:9" ht="12.75" customHeight="1" x14ac:dyDescent="0.2">
      <c r="A82" s="50"/>
      <c r="B82" s="50"/>
      <c r="C82" s="111"/>
      <c r="D82" s="111"/>
      <c r="E82" s="112"/>
      <c r="F82" s="113"/>
      <c r="G82" s="113"/>
      <c r="H82" s="113"/>
      <c r="I82" s="113"/>
    </row>
    <row r="83" spans="1:9" ht="12.75" customHeight="1" x14ac:dyDescent="0.2">
      <c r="A83" s="50"/>
      <c r="B83" s="50"/>
      <c r="C83" s="111"/>
      <c r="D83" s="111"/>
      <c r="E83" s="112"/>
      <c r="F83" s="113"/>
      <c r="G83" s="113"/>
      <c r="H83" s="113"/>
      <c r="I83" s="113"/>
    </row>
    <row r="84" spans="1:9" ht="14.25" x14ac:dyDescent="0.2">
      <c r="A84" s="54"/>
      <c r="B84" s="54"/>
      <c r="C84" s="54"/>
      <c r="D84" s="54"/>
      <c r="E84" s="54"/>
      <c r="F84" s="54"/>
      <c r="G84" s="54"/>
      <c r="H84" s="54"/>
      <c r="I84" s="54"/>
    </row>
    <row r="85" spans="1:9" x14ac:dyDescent="0.2">
      <c r="A85" s="42" t="s">
        <v>1070</v>
      </c>
      <c r="B85" s="42"/>
    </row>
    <row r="86" spans="1:9" x14ac:dyDescent="0.2">
      <c r="A86" s="7" t="s">
        <v>1071</v>
      </c>
      <c r="B86" s="7"/>
    </row>
    <row r="87" spans="1:9" x14ac:dyDescent="0.2">
      <c r="A87" s="7" t="s">
        <v>1072</v>
      </c>
      <c r="B87" s="7"/>
    </row>
    <row r="88" spans="1:9" x14ac:dyDescent="0.2">
      <c r="A88" s="7" t="s">
        <v>1073</v>
      </c>
      <c r="B88" s="7"/>
    </row>
    <row r="89" spans="1:9" x14ac:dyDescent="0.2">
      <c r="A89" s="7" t="s">
        <v>1074</v>
      </c>
      <c r="B89" s="7"/>
    </row>
    <row r="90" spans="1:9" x14ac:dyDescent="0.2">
      <c r="A90" s="7" t="s">
        <v>1077</v>
      </c>
      <c r="B90" s="7"/>
    </row>
    <row r="91" spans="1:9" x14ac:dyDescent="0.2">
      <c r="A91" s="7" t="s">
        <v>1078</v>
      </c>
      <c r="B91" s="7"/>
    </row>
    <row r="92" spans="1:9" x14ac:dyDescent="0.2">
      <c r="A92" s="7" t="s">
        <v>1079</v>
      </c>
      <c r="B92" s="7"/>
    </row>
    <row r="93" spans="1:9" x14ac:dyDescent="0.2">
      <c r="A93" s="7" t="s">
        <v>1080</v>
      </c>
      <c r="B93" s="7"/>
    </row>
    <row r="94" spans="1:9" x14ac:dyDescent="0.2">
      <c r="A94" s="7" t="s">
        <v>1081</v>
      </c>
      <c r="B94" s="7"/>
    </row>
    <row r="95" spans="1:9" x14ac:dyDescent="0.2">
      <c r="A95" s="7" t="s">
        <v>1082</v>
      </c>
      <c r="B95" s="7"/>
    </row>
    <row r="96" spans="1:9" x14ac:dyDescent="0.2">
      <c r="A96" s="7" t="s">
        <v>1083</v>
      </c>
      <c r="B96" s="7"/>
    </row>
    <row r="97" spans="1:2" x14ac:dyDescent="0.2">
      <c r="A97" s="41" t="s">
        <v>1084</v>
      </c>
      <c r="B97" s="41"/>
    </row>
    <row r="98" spans="1:2" x14ac:dyDescent="0.2">
      <c r="A98" s="41" t="s">
        <v>1085</v>
      </c>
      <c r="B98" s="41"/>
    </row>
    <row r="99" spans="1:2" x14ac:dyDescent="0.2">
      <c r="A99" s="41" t="s">
        <v>1086</v>
      </c>
      <c r="B99" s="41"/>
    </row>
    <row r="100" spans="1:2" x14ac:dyDescent="0.2">
      <c r="A100" s="41" t="s">
        <v>1087</v>
      </c>
      <c r="B100" s="41"/>
    </row>
    <row r="101" spans="1:2" x14ac:dyDescent="0.2">
      <c r="A101" s="41" t="s">
        <v>1088</v>
      </c>
      <c r="B101" s="41"/>
    </row>
    <row r="102" spans="1:2" x14ac:dyDescent="0.2">
      <c r="A102" s="41" t="s">
        <v>1089</v>
      </c>
      <c r="B102" s="41"/>
    </row>
    <row r="103" spans="1:2" x14ac:dyDescent="0.2">
      <c r="A103" s="7" t="s">
        <v>1090</v>
      </c>
      <c r="B103" s="7"/>
    </row>
    <row r="104" spans="1:2" x14ac:dyDescent="0.2">
      <c r="A104" s="41" t="s">
        <v>1091</v>
      </c>
      <c r="B104" s="41"/>
    </row>
    <row r="105" spans="1:2" x14ac:dyDescent="0.2">
      <c r="A105" s="7" t="s">
        <v>1092</v>
      </c>
      <c r="B105" s="7"/>
    </row>
    <row r="106" spans="1:2" x14ac:dyDescent="0.2">
      <c r="A106" s="41" t="s">
        <v>1093</v>
      </c>
      <c r="B106" s="41"/>
    </row>
    <row r="107" spans="1:2" x14ac:dyDescent="0.2">
      <c r="A107" s="41" t="s">
        <v>1095</v>
      </c>
      <c r="B107" s="41"/>
    </row>
    <row r="108" spans="1:2" x14ac:dyDescent="0.2">
      <c r="A108" s="7" t="s">
        <v>1096</v>
      </c>
      <c r="B108" s="7"/>
    </row>
    <row r="109" spans="1:2" x14ac:dyDescent="0.2">
      <c r="A109" s="7" t="s">
        <v>1097</v>
      </c>
      <c r="B109" s="7"/>
    </row>
    <row r="110" spans="1:2" x14ac:dyDescent="0.2">
      <c r="A110" s="7" t="s">
        <v>1098</v>
      </c>
      <c r="B110" s="7"/>
    </row>
    <row r="111" spans="1:2" x14ac:dyDescent="0.2">
      <c r="A111" s="7" t="s">
        <v>1100</v>
      </c>
      <c r="B111" s="7"/>
    </row>
    <row r="112" spans="1:2" x14ac:dyDescent="0.2">
      <c r="A112" s="41" t="s">
        <v>1101</v>
      </c>
      <c r="B112" s="41"/>
    </row>
    <row r="113" spans="1:2" x14ac:dyDescent="0.2">
      <c r="A113" s="41" t="s">
        <v>1103</v>
      </c>
      <c r="B113" s="41"/>
    </row>
    <row r="114" spans="1:2" x14ac:dyDescent="0.2">
      <c r="A114" s="41" t="s">
        <v>1104</v>
      </c>
      <c r="B114" s="41"/>
    </row>
    <row r="115" spans="1:2" x14ac:dyDescent="0.2">
      <c r="A115" s="41" t="s">
        <v>1105</v>
      </c>
      <c r="B115" s="7"/>
    </row>
    <row r="116" spans="1:2" x14ac:dyDescent="0.2">
      <c r="A116" s="7" t="s">
        <v>1106</v>
      </c>
      <c r="B116" s="7"/>
    </row>
    <row r="117" spans="1:2" x14ac:dyDescent="0.2">
      <c r="A117" s="41" t="s">
        <v>1107</v>
      </c>
      <c r="B117" s="41"/>
    </row>
    <row r="118" spans="1:2" x14ac:dyDescent="0.2">
      <c r="A118" s="7" t="s">
        <v>1108</v>
      </c>
      <c r="B118" s="7"/>
    </row>
    <row r="119" spans="1:2" x14ac:dyDescent="0.2">
      <c r="A119" s="7" t="s">
        <v>1109</v>
      </c>
      <c r="B119" s="7"/>
    </row>
    <row r="120" spans="1:2" x14ac:dyDescent="0.2">
      <c r="A120" s="7" t="s">
        <v>1111</v>
      </c>
      <c r="B120" s="7"/>
    </row>
    <row r="121" spans="1:2" x14ac:dyDescent="0.2">
      <c r="A121" s="7" t="s">
        <v>1112</v>
      </c>
      <c r="B121" s="7"/>
    </row>
    <row r="122" spans="1:2" x14ac:dyDescent="0.2">
      <c r="A122" s="7" t="s">
        <v>1113</v>
      </c>
      <c r="B122" s="7"/>
    </row>
    <row r="123" spans="1:2" x14ac:dyDescent="0.2">
      <c r="A123" s="7" t="s">
        <v>1114</v>
      </c>
      <c r="B123" s="7"/>
    </row>
    <row r="124" spans="1:2" x14ac:dyDescent="0.2">
      <c r="A124" s="7" t="s">
        <v>1115</v>
      </c>
      <c r="B124" s="7"/>
    </row>
    <row r="125" spans="1:2" x14ac:dyDescent="0.2">
      <c r="A125" s="7" t="s">
        <v>1116</v>
      </c>
      <c r="B125" s="7"/>
    </row>
    <row r="126" spans="1:2" x14ac:dyDescent="0.2">
      <c r="A126" s="7" t="s">
        <v>1117</v>
      </c>
      <c r="B126" s="7"/>
    </row>
    <row r="127" spans="1:2" x14ac:dyDescent="0.2">
      <c r="A127" s="7" t="s">
        <v>1118</v>
      </c>
      <c r="B127" s="7"/>
    </row>
    <row r="128" spans="1:2" x14ac:dyDescent="0.2">
      <c r="A128" s="7" t="s">
        <v>1119</v>
      </c>
      <c r="B128" s="7"/>
    </row>
    <row r="129" spans="1:2" x14ac:dyDescent="0.2">
      <c r="A129" s="7" t="s">
        <v>1120</v>
      </c>
      <c r="B129" s="7"/>
    </row>
    <row r="130" spans="1:2" x14ac:dyDescent="0.2">
      <c r="A130" s="41" t="s">
        <v>1121</v>
      </c>
      <c r="B130" s="41"/>
    </row>
    <row r="131" spans="1:2" x14ac:dyDescent="0.2">
      <c r="A131" s="41" t="s">
        <v>1122</v>
      </c>
      <c r="B131" s="41"/>
    </row>
    <row r="132" spans="1:2" x14ac:dyDescent="0.2">
      <c r="A132" s="41" t="s">
        <v>1123</v>
      </c>
      <c r="B132" s="41"/>
    </row>
    <row r="133" spans="1:2" x14ac:dyDescent="0.2">
      <c r="A133" s="7" t="s">
        <v>1124</v>
      </c>
      <c r="B133" s="7"/>
    </row>
    <row r="134" spans="1:2" x14ac:dyDescent="0.2">
      <c r="A134" s="7" t="s">
        <v>1125</v>
      </c>
      <c r="B134" s="7"/>
    </row>
    <row r="135" spans="1:2" x14ac:dyDescent="0.2">
      <c r="A135" s="7" t="s">
        <v>1126</v>
      </c>
      <c r="B135" s="7"/>
    </row>
    <row r="136" spans="1:2" x14ac:dyDescent="0.2">
      <c r="A136" s="41" t="s">
        <v>1127</v>
      </c>
      <c r="B136" s="41"/>
    </row>
    <row r="137" spans="1:2" x14ac:dyDescent="0.2">
      <c r="A137" s="41" t="s">
        <v>1128</v>
      </c>
      <c r="B137" s="41"/>
    </row>
    <row r="138" spans="1:2" x14ac:dyDescent="0.2">
      <c r="A138" s="41" t="s">
        <v>1129</v>
      </c>
      <c r="B138" s="41"/>
    </row>
    <row r="139" spans="1:2" x14ac:dyDescent="0.2">
      <c r="A139" s="7" t="s">
        <v>1131</v>
      </c>
      <c r="B139" s="7"/>
    </row>
    <row r="140" spans="1:2" x14ac:dyDescent="0.2">
      <c r="A140" s="7" t="s">
        <v>1132</v>
      </c>
      <c r="B140" s="7"/>
    </row>
    <row r="141" spans="1:2" x14ac:dyDescent="0.2">
      <c r="A141" s="7" t="s">
        <v>1133</v>
      </c>
      <c r="B141" s="7"/>
    </row>
    <row r="142" spans="1:2" x14ac:dyDescent="0.2">
      <c r="A142" s="7" t="s">
        <v>1134</v>
      </c>
      <c r="B142" s="7"/>
    </row>
    <row r="143" spans="1:2" x14ac:dyDescent="0.2">
      <c r="A143" s="7" t="s">
        <v>1135</v>
      </c>
      <c r="B143" s="7"/>
    </row>
    <row r="144" spans="1:2" x14ac:dyDescent="0.2">
      <c r="A144" s="41" t="s">
        <v>1136</v>
      </c>
      <c r="B144" s="41"/>
    </row>
    <row r="145" spans="1:2" x14ac:dyDescent="0.2">
      <c r="A145" s="7" t="s">
        <v>1137</v>
      </c>
      <c r="B145" s="7"/>
    </row>
    <row r="146" spans="1:2" x14ac:dyDescent="0.2">
      <c r="A146" s="41" t="s">
        <v>1138</v>
      </c>
      <c r="B146" s="41"/>
    </row>
    <row r="147" spans="1:2" x14ac:dyDescent="0.2">
      <c r="A147" s="41" t="s">
        <v>1140</v>
      </c>
      <c r="B147" s="41"/>
    </row>
    <row r="148" spans="1:2" x14ac:dyDescent="0.2">
      <c r="A148" s="7" t="s">
        <v>1141</v>
      </c>
      <c r="B148" s="7"/>
    </row>
    <row r="149" spans="1:2" x14ac:dyDescent="0.2">
      <c r="A149" s="41" t="s">
        <v>1142</v>
      </c>
      <c r="B149" s="41"/>
    </row>
    <row r="150" spans="1:2" x14ac:dyDescent="0.2">
      <c r="A150" s="41" t="s">
        <v>1143</v>
      </c>
      <c r="B150" s="41"/>
    </row>
    <row r="151" spans="1:2" x14ac:dyDescent="0.2">
      <c r="A151" s="7" t="s">
        <v>1144</v>
      </c>
      <c r="B151" s="7"/>
    </row>
    <row r="152" spans="1:2" x14ac:dyDescent="0.2">
      <c r="A152" s="7" t="s">
        <v>1145</v>
      </c>
      <c r="B152" s="7"/>
    </row>
    <row r="153" spans="1:2" x14ac:dyDescent="0.2">
      <c r="A153" s="7" t="s">
        <v>1146</v>
      </c>
      <c r="B153" s="7"/>
    </row>
    <row r="154" spans="1:2" x14ac:dyDescent="0.2">
      <c r="A154" s="41" t="s">
        <v>1147</v>
      </c>
      <c r="B154" s="41"/>
    </row>
    <row r="155" spans="1:2" x14ac:dyDescent="0.2">
      <c r="A155" s="7" t="s">
        <v>1148</v>
      </c>
      <c r="B155" s="7"/>
    </row>
    <row r="156" spans="1:2" x14ac:dyDescent="0.2">
      <c r="A156" s="7" t="s">
        <v>1150</v>
      </c>
      <c r="B156" s="7"/>
    </row>
    <row r="157" spans="1:2" x14ac:dyDescent="0.2">
      <c r="A157" s="7" t="s">
        <v>1151</v>
      </c>
      <c r="B157" s="7"/>
    </row>
    <row r="158" spans="1:2" x14ac:dyDescent="0.2">
      <c r="A158" s="7" t="s">
        <v>1152</v>
      </c>
      <c r="B158" s="7"/>
    </row>
    <row r="159" spans="1:2" x14ac:dyDescent="0.2">
      <c r="A159" s="7" t="s">
        <v>1153</v>
      </c>
      <c r="B159" s="7"/>
    </row>
    <row r="160" spans="1:2" x14ac:dyDescent="0.2">
      <c r="A160" s="7" t="s">
        <v>1154</v>
      </c>
      <c r="B160" s="7"/>
    </row>
    <row r="161" spans="1:2" x14ac:dyDescent="0.2">
      <c r="A161" s="41" t="s">
        <v>1155</v>
      </c>
      <c r="B161" s="41"/>
    </row>
    <row r="162" spans="1:2" x14ac:dyDescent="0.2">
      <c r="A162" s="7" t="s">
        <v>1156</v>
      </c>
      <c r="B162" s="7"/>
    </row>
    <row r="163" spans="1:2" x14ac:dyDescent="0.2">
      <c r="A163" s="7" t="s">
        <v>1157</v>
      </c>
      <c r="B163" s="7"/>
    </row>
    <row r="164" spans="1:2" x14ac:dyDescent="0.2">
      <c r="A164" s="7" t="s">
        <v>1158</v>
      </c>
      <c r="B164" s="7"/>
    </row>
    <row r="165" spans="1:2" x14ac:dyDescent="0.2">
      <c r="A165" s="7" t="s">
        <v>1159</v>
      </c>
      <c r="B165" s="7"/>
    </row>
    <row r="166" spans="1:2" x14ac:dyDescent="0.2">
      <c r="A166" s="41" t="s">
        <v>1161</v>
      </c>
      <c r="B166" s="41"/>
    </row>
    <row r="167" spans="1:2" x14ac:dyDescent="0.2">
      <c r="A167" s="41" t="s">
        <v>1162</v>
      </c>
      <c r="B167" s="41"/>
    </row>
  </sheetData>
  <mergeCells count="1">
    <mergeCell ref="C1:D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BB54-2845-43C7-857A-AF6B49996030}">
  <dimension ref="A1:I348"/>
  <sheetViews>
    <sheetView rightToLeft="1" workbookViewId="0">
      <selection activeCell="D5" sqref="D5"/>
    </sheetView>
  </sheetViews>
  <sheetFormatPr defaultRowHeight="12.75" x14ac:dyDescent="0.2"/>
  <cols>
    <col min="1" max="1" width="28.42578125" customWidth="1"/>
    <col min="2" max="4" width="9.140625" style="122"/>
    <col min="5" max="6" width="9.140625" style="53"/>
    <col min="7" max="7" width="10.5703125" style="183" customWidth="1"/>
    <col min="8" max="8" width="16.85546875" customWidth="1"/>
    <col min="11" max="11" width="21.5703125" customWidth="1"/>
  </cols>
  <sheetData>
    <row r="1" spans="1:9" ht="18" x14ac:dyDescent="0.25">
      <c r="A1" s="63" t="s">
        <v>1067</v>
      </c>
      <c r="B1" s="63" t="s">
        <v>1170</v>
      </c>
      <c r="C1" s="118" t="s">
        <v>1068</v>
      </c>
      <c r="D1" s="103" t="s">
        <v>1069</v>
      </c>
      <c r="E1" s="119" t="s">
        <v>1217</v>
      </c>
      <c r="F1" s="180" t="s">
        <v>1593</v>
      </c>
      <c r="G1" s="205" t="s">
        <v>1601</v>
      </c>
    </row>
    <row r="2" spans="1:9" x14ac:dyDescent="0.2">
      <c r="A2" s="50" t="s">
        <v>1319</v>
      </c>
      <c r="B2" s="50">
        <v>1</v>
      </c>
      <c r="C2" s="129">
        <v>180</v>
      </c>
      <c r="D2" s="112"/>
      <c r="E2" s="113"/>
      <c r="F2" s="181"/>
      <c r="G2" s="206">
        <v>109</v>
      </c>
      <c r="H2" s="206" t="s">
        <v>1603</v>
      </c>
    </row>
    <row r="3" spans="1:9" x14ac:dyDescent="0.2">
      <c r="A3" s="50" t="s">
        <v>1196</v>
      </c>
      <c r="B3" s="50" t="s">
        <v>1019</v>
      </c>
      <c r="C3" s="111">
        <v>5.3</v>
      </c>
      <c r="D3" s="112">
        <v>5.3</v>
      </c>
      <c r="E3" s="113">
        <v>5.7</v>
      </c>
      <c r="F3" s="181"/>
      <c r="G3" s="206"/>
    </row>
    <row r="4" spans="1:9" x14ac:dyDescent="0.2">
      <c r="A4" s="50" t="s">
        <v>1184</v>
      </c>
      <c r="B4" s="50" t="s">
        <v>1185</v>
      </c>
      <c r="C4" s="120"/>
      <c r="D4" s="112">
        <v>24</v>
      </c>
      <c r="E4" s="113">
        <v>22.4</v>
      </c>
      <c r="F4" s="181">
        <v>19.8</v>
      </c>
      <c r="G4" s="206">
        <v>23.2</v>
      </c>
    </row>
    <row r="5" spans="1:9" x14ac:dyDescent="0.2">
      <c r="A5" s="50" t="s">
        <v>1075</v>
      </c>
      <c r="B5" s="112" t="s">
        <v>1604</v>
      </c>
      <c r="C5" s="120"/>
      <c r="D5" s="112">
        <v>7.2</v>
      </c>
      <c r="E5" s="113">
        <v>8.5</v>
      </c>
      <c r="F5" s="181"/>
      <c r="G5" s="206">
        <v>3.9</v>
      </c>
      <c r="H5" s="206" t="s">
        <v>1604</v>
      </c>
    </row>
    <row r="6" spans="1:9" x14ac:dyDescent="0.2">
      <c r="A6" s="50" t="s">
        <v>1076</v>
      </c>
      <c r="B6" s="112" t="s">
        <v>1602</v>
      </c>
      <c r="C6" s="111"/>
      <c r="D6" s="112">
        <v>3.3</v>
      </c>
      <c r="E6" s="113">
        <v>4</v>
      </c>
      <c r="F6" s="181"/>
      <c r="G6" s="206">
        <v>4.5</v>
      </c>
      <c r="H6" s="206" t="s">
        <v>1605</v>
      </c>
    </row>
    <row r="7" spans="1:9" x14ac:dyDescent="0.2">
      <c r="A7" s="50" t="s">
        <v>1191</v>
      </c>
      <c r="B7" s="50" t="s">
        <v>1185</v>
      </c>
      <c r="C7" s="120"/>
      <c r="D7" s="112">
        <v>82</v>
      </c>
      <c r="E7" s="113"/>
      <c r="F7" s="181"/>
      <c r="G7" s="206"/>
    </row>
    <row r="8" spans="1:9" x14ac:dyDescent="0.2">
      <c r="A8" s="50" t="s">
        <v>1195</v>
      </c>
      <c r="B8" s="50" t="s">
        <v>1185</v>
      </c>
      <c r="C8" s="120"/>
      <c r="D8" s="112">
        <v>58</v>
      </c>
      <c r="E8" s="113">
        <v>32</v>
      </c>
      <c r="F8" s="181">
        <v>27.2</v>
      </c>
      <c r="G8" s="206">
        <v>28.8</v>
      </c>
    </row>
    <row r="9" spans="1:9" x14ac:dyDescent="0.2">
      <c r="A9" s="130" t="s">
        <v>1591</v>
      </c>
      <c r="B9" s="123"/>
      <c r="C9" s="120"/>
      <c r="D9" s="112"/>
      <c r="E9" s="113">
        <v>305</v>
      </c>
      <c r="F9" s="182"/>
      <c r="G9" s="207"/>
    </row>
    <row r="10" spans="1:9" x14ac:dyDescent="0.2">
      <c r="A10" s="130" t="s">
        <v>1590</v>
      </c>
      <c r="B10" s="123"/>
      <c r="C10" s="120"/>
      <c r="D10" s="112"/>
      <c r="E10" s="113">
        <v>117.18</v>
      </c>
      <c r="F10" s="182"/>
      <c r="G10" s="207"/>
    </row>
    <row r="11" spans="1:9" x14ac:dyDescent="0.2">
      <c r="A11" s="50" t="s">
        <v>1194</v>
      </c>
      <c r="B11" s="50">
        <v>1</v>
      </c>
      <c r="C11" s="120"/>
      <c r="D11" s="112">
        <v>6.54</v>
      </c>
      <c r="E11" s="113">
        <v>7</v>
      </c>
      <c r="F11" s="184">
        <v>4.8499999999999996</v>
      </c>
      <c r="G11" s="206">
        <v>5</v>
      </c>
    </row>
    <row r="12" spans="1:9" x14ac:dyDescent="0.2">
      <c r="A12" s="50" t="s">
        <v>1221</v>
      </c>
      <c r="B12" s="50" t="s">
        <v>1519</v>
      </c>
      <c r="C12" s="120">
        <v>2.27</v>
      </c>
      <c r="D12" s="112"/>
      <c r="E12" s="113">
        <v>2.56</v>
      </c>
      <c r="F12" s="181">
        <v>2.48</v>
      </c>
      <c r="G12" s="206"/>
    </row>
    <row r="13" spans="1:9" x14ac:dyDescent="0.2">
      <c r="A13" s="50" t="s">
        <v>1221</v>
      </c>
      <c r="B13" s="50">
        <v>50</v>
      </c>
      <c r="C13" s="111"/>
      <c r="D13" s="112"/>
      <c r="E13" s="113">
        <v>3.2</v>
      </c>
      <c r="F13" s="181"/>
      <c r="G13" s="206">
        <v>2.2000000000000002</v>
      </c>
      <c r="H13">
        <v>20</v>
      </c>
      <c r="I13" s="206" t="s">
        <v>1605</v>
      </c>
    </row>
    <row r="14" spans="1:9" x14ac:dyDescent="0.2">
      <c r="A14" s="50" t="s">
        <v>1165</v>
      </c>
      <c r="B14" s="50">
        <v>100</v>
      </c>
      <c r="C14" s="111">
        <v>2.5</v>
      </c>
      <c r="D14" s="112"/>
      <c r="E14" s="113">
        <v>1.78</v>
      </c>
      <c r="F14" s="181">
        <v>2.2999999999999998</v>
      </c>
      <c r="G14" s="206">
        <v>1.76</v>
      </c>
      <c r="H14">
        <v>30</v>
      </c>
    </row>
    <row r="15" spans="1:9" x14ac:dyDescent="0.2">
      <c r="A15" s="50" t="s">
        <v>1178</v>
      </c>
      <c r="B15" s="50">
        <v>40</v>
      </c>
      <c r="C15" s="111">
        <v>4</v>
      </c>
      <c r="D15" s="112"/>
      <c r="E15" s="129">
        <v>3.48</v>
      </c>
      <c r="F15" s="181"/>
      <c r="G15" s="206">
        <v>3.1</v>
      </c>
      <c r="H15">
        <v>25</v>
      </c>
      <c r="I15" s="206">
        <v>40</v>
      </c>
    </row>
    <row r="16" spans="1:9" x14ac:dyDescent="0.2">
      <c r="A16" s="50" t="s">
        <v>1317</v>
      </c>
      <c r="B16" s="50">
        <v>75</v>
      </c>
      <c r="C16" s="111">
        <v>2.5</v>
      </c>
      <c r="D16" s="112"/>
      <c r="E16" s="113"/>
      <c r="F16" s="181"/>
      <c r="G16" s="206"/>
    </row>
    <row r="17" spans="1:8" x14ac:dyDescent="0.2">
      <c r="A17" s="50" t="s">
        <v>1429</v>
      </c>
      <c r="B17" s="50"/>
      <c r="C17" s="111"/>
      <c r="D17" s="112"/>
      <c r="E17" s="113"/>
      <c r="F17" s="181"/>
      <c r="G17" s="206"/>
      <c r="H17">
        <v>100</v>
      </c>
    </row>
    <row r="18" spans="1:8" x14ac:dyDescent="0.2">
      <c r="A18" s="50" t="s">
        <v>1177</v>
      </c>
      <c r="B18" s="50" t="s">
        <v>1432</v>
      </c>
      <c r="C18" s="111">
        <v>2.4500000000000002</v>
      </c>
      <c r="D18" s="112"/>
      <c r="E18" s="113">
        <v>2.38</v>
      </c>
      <c r="F18" s="181">
        <v>2.5</v>
      </c>
      <c r="G18" s="206">
        <v>2.2000000000000002</v>
      </c>
      <c r="H18" s="206" t="s">
        <v>1605</v>
      </c>
    </row>
    <row r="19" spans="1:8" x14ac:dyDescent="0.2">
      <c r="A19" s="50" t="s">
        <v>1316</v>
      </c>
      <c r="B19" s="50" t="s">
        <v>1615</v>
      </c>
      <c r="C19" s="111">
        <v>2</v>
      </c>
      <c r="D19" s="112"/>
      <c r="E19" s="113">
        <v>2.12</v>
      </c>
      <c r="F19" s="181"/>
      <c r="G19" s="206">
        <v>1.8</v>
      </c>
      <c r="H19" s="206" t="s">
        <v>1623</v>
      </c>
    </row>
    <row r="20" spans="1:8" x14ac:dyDescent="0.2">
      <c r="A20" s="50" t="s">
        <v>1427</v>
      </c>
      <c r="B20" s="50"/>
      <c r="C20" s="111"/>
      <c r="D20" s="112"/>
      <c r="E20" s="113"/>
      <c r="F20" s="181">
        <v>2</v>
      </c>
      <c r="G20" s="206"/>
      <c r="H20">
        <v>100</v>
      </c>
    </row>
    <row r="21" spans="1:8" x14ac:dyDescent="0.2">
      <c r="A21" s="50" t="s">
        <v>1212</v>
      </c>
      <c r="B21" s="50">
        <v>1</v>
      </c>
      <c r="C21" s="111"/>
      <c r="D21" s="112">
        <v>12</v>
      </c>
      <c r="E21" s="113"/>
      <c r="F21" s="181"/>
      <c r="G21" s="206"/>
    </row>
    <row r="22" spans="1:8" x14ac:dyDescent="0.2">
      <c r="A22" s="50" t="s">
        <v>1284</v>
      </c>
      <c r="B22" s="50">
        <v>1</v>
      </c>
      <c r="C22" s="111"/>
      <c r="D22" s="112"/>
      <c r="E22" s="113">
        <v>11.9</v>
      </c>
      <c r="F22" s="181">
        <v>10.5</v>
      </c>
      <c r="G22" s="206"/>
    </row>
    <row r="23" spans="1:8" x14ac:dyDescent="0.2">
      <c r="A23" s="50" t="s">
        <v>1266</v>
      </c>
      <c r="B23" s="50">
        <v>1</v>
      </c>
      <c r="C23" s="111"/>
      <c r="D23" s="112"/>
      <c r="E23" s="113">
        <v>12.9</v>
      </c>
      <c r="F23" s="181">
        <v>10.5</v>
      </c>
      <c r="G23" s="206">
        <v>9</v>
      </c>
    </row>
    <row r="24" spans="1:8" x14ac:dyDescent="0.2">
      <c r="A24" s="50" t="s">
        <v>1248</v>
      </c>
      <c r="B24" s="50">
        <v>1</v>
      </c>
      <c r="C24" s="111"/>
      <c r="D24" s="112"/>
      <c r="E24" s="113"/>
      <c r="F24" s="181">
        <v>10.5</v>
      </c>
      <c r="G24" s="206">
        <v>9</v>
      </c>
    </row>
    <row r="25" spans="1:8" x14ac:dyDescent="0.2">
      <c r="A25" s="130" t="s">
        <v>1093</v>
      </c>
      <c r="B25" s="123">
        <v>36</v>
      </c>
      <c r="C25" s="111"/>
      <c r="D25" s="112">
        <v>25.2</v>
      </c>
      <c r="E25" s="113"/>
      <c r="F25" s="184">
        <v>21.6</v>
      </c>
      <c r="G25" s="206">
        <v>9</v>
      </c>
    </row>
    <row r="26" spans="1:8" x14ac:dyDescent="0.2">
      <c r="A26" s="50" t="s">
        <v>1342</v>
      </c>
      <c r="B26" s="50">
        <v>1</v>
      </c>
      <c r="C26" s="111"/>
      <c r="D26" s="112"/>
      <c r="E26" s="113">
        <v>1.2</v>
      </c>
      <c r="F26" s="181"/>
      <c r="G26" s="206"/>
    </row>
    <row r="27" spans="1:8" x14ac:dyDescent="0.2">
      <c r="A27" s="50" t="s">
        <v>1190</v>
      </c>
      <c r="B27" s="50">
        <v>6</v>
      </c>
      <c r="C27" s="120"/>
      <c r="D27" s="112">
        <v>195</v>
      </c>
      <c r="E27" s="113"/>
      <c r="F27" s="181"/>
      <c r="G27" s="206"/>
    </row>
    <row r="28" spans="1:8" x14ac:dyDescent="0.2">
      <c r="A28" s="50" t="s">
        <v>1289</v>
      </c>
      <c r="B28" s="50">
        <v>18</v>
      </c>
      <c r="C28" s="111">
        <v>1.25</v>
      </c>
      <c r="D28" s="112"/>
      <c r="E28" s="113">
        <v>4.75</v>
      </c>
      <c r="F28" s="181">
        <v>1.2</v>
      </c>
      <c r="G28" s="206"/>
      <c r="H28">
        <v>25</v>
      </c>
    </row>
    <row r="29" spans="1:8" x14ac:dyDescent="0.2">
      <c r="A29" s="130" t="s">
        <v>1498</v>
      </c>
      <c r="B29" s="123">
        <v>50</v>
      </c>
      <c r="C29" s="111"/>
      <c r="D29" s="112"/>
      <c r="E29" s="113">
        <v>6</v>
      </c>
      <c r="F29" s="181"/>
      <c r="G29" s="206"/>
    </row>
    <row r="30" spans="1:8" x14ac:dyDescent="0.2">
      <c r="A30" s="50" t="s">
        <v>1318</v>
      </c>
      <c r="B30" s="50">
        <v>50</v>
      </c>
      <c r="C30" s="111">
        <v>4.5</v>
      </c>
      <c r="D30" s="112"/>
      <c r="E30" s="113"/>
      <c r="F30" s="181"/>
      <c r="G30" s="206"/>
    </row>
    <row r="31" spans="1:8" x14ac:dyDescent="0.2">
      <c r="A31" s="50" t="s">
        <v>1094</v>
      </c>
      <c r="B31" s="50">
        <v>1</v>
      </c>
      <c r="C31" s="120"/>
      <c r="D31" s="112">
        <v>3</v>
      </c>
      <c r="E31" s="113"/>
      <c r="F31" s="181"/>
      <c r="G31" s="206">
        <v>2.9</v>
      </c>
    </row>
    <row r="32" spans="1:8" x14ac:dyDescent="0.2">
      <c r="A32" s="123" t="s">
        <v>1507</v>
      </c>
      <c r="B32" s="123">
        <v>1</v>
      </c>
      <c r="C32" s="111"/>
      <c r="D32" s="112"/>
      <c r="E32" s="113">
        <v>5.8</v>
      </c>
      <c r="F32" s="181"/>
      <c r="G32" s="206">
        <v>2.9</v>
      </c>
    </row>
    <row r="33" spans="1:8" x14ac:dyDescent="0.2">
      <c r="A33" s="50" t="s">
        <v>1193</v>
      </c>
      <c r="B33" s="50">
        <v>1</v>
      </c>
      <c r="C33" s="120"/>
      <c r="D33" s="112">
        <v>9</v>
      </c>
      <c r="E33" s="113">
        <v>11</v>
      </c>
      <c r="F33" s="181">
        <v>8.5</v>
      </c>
      <c r="G33" s="206">
        <v>8.9</v>
      </c>
    </row>
    <row r="34" spans="1:8" x14ac:dyDescent="0.2">
      <c r="A34" s="50" t="s">
        <v>1445</v>
      </c>
      <c r="B34" s="50">
        <v>1</v>
      </c>
      <c r="C34" s="120"/>
      <c r="D34" s="112">
        <v>7.5</v>
      </c>
      <c r="E34" s="113"/>
      <c r="F34" s="181">
        <v>5.9</v>
      </c>
      <c r="G34" s="206">
        <v>5.9</v>
      </c>
    </row>
    <row r="35" spans="1:8" x14ac:dyDescent="0.2">
      <c r="A35" s="50" t="s">
        <v>1181</v>
      </c>
      <c r="B35" s="50" t="s">
        <v>1589</v>
      </c>
      <c r="C35" s="111">
        <v>3.4</v>
      </c>
      <c r="D35" s="112"/>
      <c r="E35" s="113">
        <v>5.2</v>
      </c>
      <c r="F35" s="181"/>
      <c r="G35" s="206"/>
      <c r="H35">
        <v>50</v>
      </c>
    </row>
    <row r="36" spans="1:8" x14ac:dyDescent="0.2">
      <c r="A36" s="50" t="s">
        <v>1587</v>
      </c>
      <c r="B36" s="50" t="s">
        <v>1588</v>
      </c>
      <c r="C36" s="120">
        <v>3.5</v>
      </c>
      <c r="D36" s="112"/>
      <c r="E36" s="113"/>
      <c r="F36" s="181"/>
      <c r="G36" s="206"/>
    </row>
    <row r="37" spans="1:8" x14ac:dyDescent="0.2">
      <c r="A37" s="50" t="s">
        <v>1428</v>
      </c>
      <c r="B37" s="50"/>
      <c r="C37" s="111"/>
      <c r="D37" s="112"/>
      <c r="E37" s="113"/>
      <c r="F37" s="181"/>
      <c r="G37" s="206"/>
      <c r="H37">
        <v>100</v>
      </c>
    </row>
    <row r="38" spans="1:8" x14ac:dyDescent="0.2">
      <c r="A38" s="50" t="s">
        <v>1315</v>
      </c>
      <c r="B38" s="50" t="s">
        <v>1432</v>
      </c>
      <c r="C38" s="111">
        <v>2.4500000000000002</v>
      </c>
      <c r="D38" s="112"/>
      <c r="E38" s="113">
        <v>2.54</v>
      </c>
      <c r="F38" s="181">
        <v>2.4</v>
      </c>
      <c r="G38" s="206">
        <v>2</v>
      </c>
      <c r="H38" s="206">
        <v>50</v>
      </c>
    </row>
    <row r="39" spans="1:8" x14ac:dyDescent="0.2">
      <c r="A39" s="50" t="s">
        <v>1192</v>
      </c>
      <c r="B39" s="50">
        <v>1</v>
      </c>
      <c r="C39" s="120"/>
      <c r="D39" s="112">
        <v>4</v>
      </c>
      <c r="E39" s="113">
        <v>3</v>
      </c>
      <c r="F39" s="181"/>
      <c r="G39" s="206">
        <v>2.9</v>
      </c>
    </row>
    <row r="40" spans="1:8" x14ac:dyDescent="0.2">
      <c r="A40" s="50" t="s">
        <v>1099</v>
      </c>
      <c r="B40" s="50">
        <v>1</v>
      </c>
      <c r="C40" s="111">
        <v>14</v>
      </c>
      <c r="D40" s="112">
        <v>14</v>
      </c>
      <c r="E40" s="113">
        <v>8</v>
      </c>
      <c r="F40" s="181"/>
      <c r="G40" s="206">
        <v>6.9</v>
      </c>
    </row>
    <row r="41" spans="1:8" x14ac:dyDescent="0.2">
      <c r="A41" s="50" t="s">
        <v>1214</v>
      </c>
      <c r="B41" s="50" t="s">
        <v>1443</v>
      </c>
      <c r="C41" s="111"/>
      <c r="D41" s="112">
        <v>78</v>
      </c>
      <c r="E41" s="113"/>
      <c r="F41" s="181"/>
      <c r="G41" s="206"/>
    </row>
    <row r="42" spans="1:8" x14ac:dyDescent="0.2">
      <c r="A42" s="50" t="s">
        <v>1592</v>
      </c>
      <c r="B42" s="50">
        <v>12</v>
      </c>
      <c r="C42" s="111"/>
      <c r="D42" s="112"/>
      <c r="E42" s="113">
        <v>9</v>
      </c>
      <c r="F42" s="181"/>
      <c r="G42" s="206"/>
    </row>
    <row r="43" spans="1:8" x14ac:dyDescent="0.2">
      <c r="A43" s="50" t="s">
        <v>1179</v>
      </c>
      <c r="B43" s="50">
        <v>135</v>
      </c>
      <c r="C43" s="111">
        <v>75.47</v>
      </c>
      <c r="D43" s="112"/>
      <c r="E43" s="113">
        <v>60</v>
      </c>
      <c r="F43" s="181"/>
      <c r="G43" s="206">
        <v>67.5</v>
      </c>
    </row>
    <row r="44" spans="1:8" x14ac:dyDescent="0.2">
      <c r="A44" s="50" t="s">
        <v>1173</v>
      </c>
      <c r="B44" s="50">
        <v>135</v>
      </c>
      <c r="C44" s="111">
        <v>104.14</v>
      </c>
      <c r="D44" s="112"/>
      <c r="E44" s="113">
        <v>85</v>
      </c>
      <c r="F44" s="181"/>
      <c r="G44" s="206">
        <v>97.2</v>
      </c>
    </row>
    <row r="45" spans="1:8" x14ac:dyDescent="0.2">
      <c r="A45" s="50" t="s">
        <v>1579</v>
      </c>
      <c r="B45" s="50">
        <v>50</v>
      </c>
      <c r="C45" s="111"/>
      <c r="D45" s="112"/>
      <c r="E45" s="113">
        <v>67</v>
      </c>
      <c r="F45" s="181"/>
      <c r="G45" s="206">
        <v>55</v>
      </c>
    </row>
    <row r="46" spans="1:8" x14ac:dyDescent="0.2">
      <c r="A46" s="50" t="s">
        <v>1102</v>
      </c>
      <c r="B46" s="50">
        <v>50</v>
      </c>
      <c r="C46" s="111">
        <v>78</v>
      </c>
      <c r="D46" s="112"/>
      <c r="E46" s="113">
        <v>59</v>
      </c>
      <c r="F46" s="181"/>
      <c r="G46" s="206">
        <v>69</v>
      </c>
    </row>
    <row r="47" spans="1:8" x14ac:dyDescent="0.2">
      <c r="A47" s="50" t="s">
        <v>1243</v>
      </c>
      <c r="B47" s="50">
        <v>1000</v>
      </c>
      <c r="C47" s="111"/>
      <c r="D47" s="112"/>
      <c r="E47" s="113"/>
      <c r="F47" s="181"/>
      <c r="G47" s="206"/>
    </row>
    <row r="48" spans="1:8" x14ac:dyDescent="0.2">
      <c r="A48" s="50" t="s">
        <v>1367</v>
      </c>
      <c r="B48" s="50">
        <v>405</v>
      </c>
      <c r="C48" s="111">
        <v>0.36</v>
      </c>
      <c r="D48" s="112"/>
      <c r="E48" s="113">
        <v>0.31</v>
      </c>
      <c r="F48" s="181"/>
      <c r="G48" s="206">
        <v>0.33</v>
      </c>
    </row>
    <row r="49" spans="1:8" x14ac:dyDescent="0.2">
      <c r="A49" s="50" t="s">
        <v>1366</v>
      </c>
      <c r="B49" s="50">
        <v>240</v>
      </c>
      <c r="C49" s="111">
        <v>189</v>
      </c>
      <c r="D49" s="112"/>
      <c r="E49" s="113">
        <v>140</v>
      </c>
      <c r="F49" s="181"/>
      <c r="G49" s="206">
        <v>165.6</v>
      </c>
    </row>
    <row r="50" spans="1:8" x14ac:dyDescent="0.2">
      <c r="A50" s="130" t="s">
        <v>1508</v>
      </c>
      <c r="B50" s="123">
        <v>12</v>
      </c>
      <c r="C50" s="111"/>
      <c r="D50" s="112"/>
      <c r="E50" s="113">
        <v>18</v>
      </c>
      <c r="F50" s="181"/>
      <c r="G50" s="206"/>
    </row>
    <row r="51" spans="1:8" x14ac:dyDescent="0.2">
      <c r="A51" s="50" t="s">
        <v>1572</v>
      </c>
      <c r="B51" s="50" t="s">
        <v>646</v>
      </c>
      <c r="C51" s="111"/>
      <c r="D51" s="112"/>
      <c r="E51" s="113">
        <v>17.489999999999998</v>
      </c>
      <c r="F51" s="181"/>
      <c r="G51" s="206"/>
    </row>
    <row r="52" spans="1:8" x14ac:dyDescent="0.2">
      <c r="A52" s="124" t="s">
        <v>1426</v>
      </c>
      <c r="B52" s="50" t="s">
        <v>1185</v>
      </c>
      <c r="C52" s="111"/>
      <c r="D52" s="112">
        <v>102</v>
      </c>
      <c r="E52" s="113">
        <v>50</v>
      </c>
      <c r="F52" s="181"/>
      <c r="G52" s="206"/>
    </row>
    <row r="53" spans="1:8" x14ac:dyDescent="0.2">
      <c r="A53" s="50" t="s">
        <v>1172</v>
      </c>
      <c r="B53" s="50">
        <v>100</v>
      </c>
      <c r="C53" s="111">
        <v>2.9</v>
      </c>
      <c r="D53" s="112"/>
      <c r="E53" s="113">
        <v>5</v>
      </c>
      <c r="F53" s="181">
        <v>2.5</v>
      </c>
      <c r="G53" s="206"/>
    </row>
    <row r="54" spans="1:8" x14ac:dyDescent="0.2">
      <c r="A54" s="50" t="s">
        <v>1268</v>
      </c>
      <c r="B54" s="50" t="s">
        <v>907</v>
      </c>
      <c r="C54" s="111"/>
      <c r="D54" s="112"/>
      <c r="E54" s="113">
        <v>205</v>
      </c>
      <c r="F54" s="181"/>
      <c r="G54" s="206"/>
    </row>
    <row r="55" spans="1:8" x14ac:dyDescent="0.2">
      <c r="A55" s="50" t="s">
        <v>1268</v>
      </c>
      <c r="B55" s="50" t="s">
        <v>1509</v>
      </c>
      <c r="C55" s="111"/>
      <c r="D55" s="112"/>
      <c r="E55" s="113">
        <v>195</v>
      </c>
      <c r="F55" s="181"/>
      <c r="G55" s="206"/>
    </row>
    <row r="56" spans="1:8" x14ac:dyDescent="0.2">
      <c r="A56" s="50" t="s">
        <v>1174</v>
      </c>
      <c r="B56" s="50" t="s">
        <v>1175</v>
      </c>
      <c r="C56" s="111">
        <v>70</v>
      </c>
      <c r="D56" s="112"/>
      <c r="E56" s="113">
        <v>60</v>
      </c>
      <c r="F56" s="181">
        <v>65</v>
      </c>
      <c r="G56" s="206">
        <v>15</v>
      </c>
      <c r="H56" s="206" t="s">
        <v>1606</v>
      </c>
    </row>
    <row r="57" spans="1:8" x14ac:dyDescent="0.2">
      <c r="A57" s="50" t="s">
        <v>1110</v>
      </c>
      <c r="B57" s="50">
        <v>1</v>
      </c>
      <c r="C57" s="111"/>
      <c r="D57" s="112">
        <v>4.9000000000000004</v>
      </c>
      <c r="E57" s="113">
        <v>4.6900000000000004</v>
      </c>
      <c r="F57" s="184">
        <v>3.6</v>
      </c>
      <c r="G57" s="206">
        <v>3.9</v>
      </c>
    </row>
    <row r="58" spans="1:8" x14ac:dyDescent="0.2">
      <c r="A58" s="50" t="s">
        <v>1166</v>
      </c>
      <c r="B58" s="50" t="s">
        <v>1616</v>
      </c>
      <c r="C58" s="111">
        <v>2</v>
      </c>
      <c r="D58" s="121"/>
      <c r="E58" s="113"/>
      <c r="F58" s="181"/>
      <c r="G58" s="206">
        <v>8.8000000000000007</v>
      </c>
      <c r="H58" s="206" t="s">
        <v>1623</v>
      </c>
    </row>
    <row r="59" spans="1:8" x14ac:dyDescent="0.2">
      <c r="A59" s="50" t="s">
        <v>1163</v>
      </c>
      <c r="B59" s="50" t="s">
        <v>1164</v>
      </c>
      <c r="C59" s="111">
        <v>44.5</v>
      </c>
      <c r="D59" s="121"/>
      <c r="E59" s="113"/>
      <c r="F59" s="181"/>
      <c r="G59" s="206">
        <v>68</v>
      </c>
      <c r="H59" s="206" t="s">
        <v>1626</v>
      </c>
    </row>
    <row r="60" spans="1:8" x14ac:dyDescent="0.2">
      <c r="A60" s="50" t="s">
        <v>1415</v>
      </c>
      <c r="B60" s="50"/>
      <c r="C60" s="111"/>
      <c r="D60" s="112">
        <v>65</v>
      </c>
      <c r="E60" s="113"/>
      <c r="F60" s="181"/>
      <c r="G60" s="206"/>
    </row>
    <row r="61" spans="1:8" x14ac:dyDescent="0.2">
      <c r="A61" s="50" t="s">
        <v>1182</v>
      </c>
      <c r="B61" s="50">
        <v>1</v>
      </c>
      <c r="C61" s="111">
        <v>55</v>
      </c>
      <c r="D61" s="112"/>
      <c r="E61" s="113"/>
      <c r="F61" s="184">
        <v>17</v>
      </c>
      <c r="G61" s="206">
        <v>55</v>
      </c>
      <c r="H61" s="215" t="s">
        <v>1624</v>
      </c>
    </row>
    <row r="62" spans="1:8" x14ac:dyDescent="0.2">
      <c r="A62" s="50" t="s">
        <v>1414</v>
      </c>
      <c r="B62" s="50">
        <v>1</v>
      </c>
      <c r="C62" s="111">
        <v>22</v>
      </c>
      <c r="D62" s="112"/>
      <c r="E62" s="113">
        <v>23.2</v>
      </c>
      <c r="F62" s="181">
        <v>22.9</v>
      </c>
      <c r="G62" s="206">
        <v>21.9</v>
      </c>
    </row>
    <row r="63" spans="1:8" x14ac:dyDescent="0.2">
      <c r="A63" s="50" t="s">
        <v>1409</v>
      </c>
      <c r="B63" s="50">
        <v>1000</v>
      </c>
      <c r="C63" s="111"/>
      <c r="D63" s="112"/>
      <c r="E63" s="113">
        <v>153.22999999999999</v>
      </c>
      <c r="F63" s="181">
        <v>165</v>
      </c>
      <c r="G63" s="206"/>
    </row>
    <row r="64" spans="1:8" x14ac:dyDescent="0.2">
      <c r="A64" s="50" t="s">
        <v>1411</v>
      </c>
      <c r="B64" s="50">
        <v>6</v>
      </c>
      <c r="C64" s="111"/>
      <c r="D64" s="112"/>
      <c r="E64" s="113"/>
      <c r="F64" s="181"/>
      <c r="G64" s="206"/>
    </row>
    <row r="65" spans="1:8" x14ac:dyDescent="0.2">
      <c r="A65" s="50" t="s">
        <v>1186</v>
      </c>
      <c r="B65" s="50">
        <v>36</v>
      </c>
      <c r="C65" s="111"/>
      <c r="D65" s="112">
        <v>175</v>
      </c>
      <c r="E65" s="113">
        <v>150</v>
      </c>
      <c r="F65" s="184">
        <v>120</v>
      </c>
      <c r="G65" s="206"/>
    </row>
    <row r="66" spans="1:8" x14ac:dyDescent="0.2">
      <c r="A66" s="50" t="s">
        <v>1189</v>
      </c>
      <c r="B66" s="50">
        <v>9000</v>
      </c>
      <c r="C66" s="120">
        <v>63</v>
      </c>
      <c r="D66" s="112">
        <v>83</v>
      </c>
      <c r="E66" s="113">
        <v>77</v>
      </c>
      <c r="F66" s="184">
        <v>59</v>
      </c>
      <c r="G66" s="206">
        <v>54</v>
      </c>
    </row>
    <row r="67" spans="1:8" x14ac:dyDescent="0.2">
      <c r="A67" s="50" t="s">
        <v>1410</v>
      </c>
      <c r="B67" s="50"/>
      <c r="C67" s="111">
        <v>97</v>
      </c>
      <c r="D67" s="112"/>
      <c r="E67" s="113"/>
      <c r="F67" s="181"/>
      <c r="G67" s="206"/>
    </row>
    <row r="68" spans="1:8" x14ac:dyDescent="0.2">
      <c r="A68" s="50" t="s">
        <v>1187</v>
      </c>
      <c r="B68" s="50">
        <v>6</v>
      </c>
      <c r="C68" s="120"/>
      <c r="D68" s="112">
        <v>160</v>
      </c>
      <c r="E68" s="113"/>
      <c r="F68" s="181"/>
      <c r="G68" s="206"/>
    </row>
    <row r="69" spans="1:8" x14ac:dyDescent="0.2">
      <c r="A69" s="50" t="s">
        <v>1188</v>
      </c>
      <c r="B69" s="50">
        <v>4000</v>
      </c>
      <c r="C69" s="120"/>
      <c r="D69" s="112">
        <v>48</v>
      </c>
      <c r="E69" s="113">
        <v>46</v>
      </c>
      <c r="F69" s="184">
        <v>39</v>
      </c>
      <c r="G69" s="206">
        <v>38.9</v>
      </c>
    </row>
    <row r="70" spans="1:8" x14ac:dyDescent="0.2">
      <c r="A70" s="50" t="s">
        <v>1609</v>
      </c>
      <c r="B70" s="50">
        <v>1000</v>
      </c>
      <c r="C70" s="120"/>
      <c r="D70" s="112"/>
      <c r="E70" s="113">
        <v>52</v>
      </c>
      <c r="F70" s="184"/>
      <c r="G70" s="206"/>
    </row>
    <row r="71" spans="1:8" x14ac:dyDescent="0.2">
      <c r="A71" s="50" t="s">
        <v>1568</v>
      </c>
      <c r="B71" s="50"/>
      <c r="C71" s="120"/>
      <c r="D71" s="112"/>
      <c r="E71" s="113">
        <v>40</v>
      </c>
      <c r="F71" s="181"/>
      <c r="G71" s="206"/>
    </row>
    <row r="72" spans="1:8" x14ac:dyDescent="0.2">
      <c r="A72" s="50" t="s">
        <v>1213</v>
      </c>
      <c r="B72" s="50">
        <v>1</v>
      </c>
      <c r="C72" s="111"/>
      <c r="D72" s="112">
        <v>50</v>
      </c>
      <c r="E72" s="113">
        <v>50</v>
      </c>
      <c r="F72" s="181"/>
      <c r="G72" s="206"/>
    </row>
    <row r="73" spans="1:8" x14ac:dyDescent="0.2">
      <c r="A73" s="124" t="s">
        <v>1444</v>
      </c>
      <c r="B73" s="123">
        <v>1</v>
      </c>
      <c r="C73" s="111"/>
      <c r="D73" s="112">
        <v>8.5</v>
      </c>
      <c r="E73" s="113"/>
      <c r="F73" s="181"/>
      <c r="G73" s="206"/>
    </row>
    <row r="74" spans="1:8" x14ac:dyDescent="0.2">
      <c r="A74" s="50" t="s">
        <v>1314</v>
      </c>
      <c r="B74" s="50" t="s">
        <v>1185</v>
      </c>
      <c r="C74" s="111"/>
      <c r="D74" s="112">
        <v>48</v>
      </c>
      <c r="E74" s="113">
        <v>48</v>
      </c>
      <c r="F74" s="181">
        <v>42</v>
      </c>
      <c r="G74" s="206">
        <v>47.6</v>
      </c>
    </row>
    <row r="75" spans="1:8" x14ac:dyDescent="0.2">
      <c r="A75" s="50" t="s">
        <v>1130</v>
      </c>
      <c r="B75" s="50" t="s">
        <v>646</v>
      </c>
      <c r="C75" s="111"/>
      <c r="D75" s="112"/>
      <c r="E75" s="113">
        <v>20</v>
      </c>
      <c r="F75" s="181"/>
      <c r="G75" s="206"/>
    </row>
    <row r="76" spans="1:8" x14ac:dyDescent="0.2">
      <c r="A76" s="50" t="s">
        <v>1416</v>
      </c>
      <c r="B76" s="50"/>
      <c r="C76" s="111"/>
      <c r="D76" s="112">
        <v>12</v>
      </c>
      <c r="E76" s="113"/>
      <c r="F76" s="181"/>
      <c r="G76" s="206"/>
    </row>
    <row r="77" spans="1:8" x14ac:dyDescent="0.2">
      <c r="A77" s="50" t="s">
        <v>1378</v>
      </c>
      <c r="B77" s="50">
        <v>1</v>
      </c>
      <c r="C77" s="111"/>
      <c r="D77" s="112"/>
      <c r="E77" s="113">
        <v>1.3</v>
      </c>
      <c r="F77" s="181">
        <v>1.89</v>
      </c>
      <c r="G77" s="206">
        <v>1.7</v>
      </c>
    </row>
    <row r="78" spans="1:8" x14ac:dyDescent="0.2">
      <c r="A78" s="50" t="s">
        <v>1378</v>
      </c>
      <c r="B78" s="50">
        <v>12</v>
      </c>
      <c r="C78" s="111"/>
      <c r="D78" s="112">
        <v>21</v>
      </c>
      <c r="E78" s="113"/>
      <c r="F78" s="181"/>
      <c r="G78" s="206"/>
      <c r="H78">
        <v>0</v>
      </c>
    </row>
    <row r="79" spans="1:8" x14ac:dyDescent="0.2">
      <c r="A79" s="50" t="s">
        <v>1422</v>
      </c>
      <c r="B79" s="50">
        <v>3</v>
      </c>
      <c r="C79" s="111">
        <v>8.5</v>
      </c>
      <c r="D79" s="112"/>
      <c r="E79" s="113">
        <v>9</v>
      </c>
      <c r="F79" s="181">
        <v>9</v>
      </c>
      <c r="G79" s="206">
        <v>8.5</v>
      </c>
      <c r="H79">
        <v>10</v>
      </c>
    </row>
    <row r="80" spans="1:8" x14ac:dyDescent="0.2">
      <c r="A80" s="50" t="s">
        <v>1422</v>
      </c>
      <c r="B80" s="50">
        <v>1</v>
      </c>
      <c r="C80" s="111">
        <v>2.83</v>
      </c>
      <c r="D80" s="112">
        <v>3</v>
      </c>
      <c r="E80" s="113">
        <v>3</v>
      </c>
      <c r="F80" s="181"/>
      <c r="G80" s="206"/>
    </row>
    <row r="81" spans="1:9" x14ac:dyDescent="0.2">
      <c r="A81" s="50" t="s">
        <v>1422</v>
      </c>
      <c r="B81" s="50">
        <v>12</v>
      </c>
      <c r="C81" s="111"/>
      <c r="D81" s="112">
        <v>36</v>
      </c>
      <c r="E81" s="113"/>
      <c r="F81" s="181"/>
      <c r="G81" s="206"/>
    </row>
    <row r="82" spans="1:9" x14ac:dyDescent="0.2">
      <c r="A82" s="50" t="s">
        <v>1320</v>
      </c>
      <c r="B82" s="50" t="s">
        <v>1487</v>
      </c>
      <c r="C82" s="111">
        <v>2.4500000000000002</v>
      </c>
      <c r="D82" s="112"/>
      <c r="E82" s="113">
        <v>2.39</v>
      </c>
      <c r="F82" s="181">
        <v>2.4</v>
      </c>
      <c r="G82" s="206">
        <v>2</v>
      </c>
      <c r="H82" s="206">
        <v>50</v>
      </c>
    </row>
    <row r="83" spans="1:9" x14ac:dyDescent="0.2">
      <c r="A83" s="50" t="s">
        <v>1379</v>
      </c>
      <c r="B83" s="50">
        <v>10</v>
      </c>
      <c r="C83" s="111"/>
      <c r="D83" s="112">
        <v>149</v>
      </c>
      <c r="E83" s="113"/>
      <c r="F83" s="181"/>
      <c r="G83" s="206"/>
    </row>
    <row r="84" spans="1:9" x14ac:dyDescent="0.2">
      <c r="A84" s="124" t="s">
        <v>1442</v>
      </c>
      <c r="B84" s="123">
        <v>1</v>
      </c>
      <c r="C84" s="111"/>
      <c r="D84" s="112">
        <v>5</v>
      </c>
      <c r="E84" s="113">
        <v>5.3</v>
      </c>
      <c r="F84" s="181"/>
      <c r="G84" s="206">
        <v>4</v>
      </c>
    </row>
    <row r="85" spans="1:9" x14ac:dyDescent="0.2">
      <c r="A85" s="50" t="s">
        <v>1139</v>
      </c>
      <c r="B85" s="50">
        <v>1</v>
      </c>
      <c r="C85" s="111"/>
      <c r="D85" s="112">
        <v>14.5</v>
      </c>
      <c r="E85" s="113"/>
      <c r="F85" s="181"/>
      <c r="G85" s="206"/>
    </row>
    <row r="86" spans="1:9" x14ac:dyDescent="0.2">
      <c r="A86" s="123" t="s">
        <v>1607</v>
      </c>
      <c r="B86" s="123" t="s">
        <v>1608</v>
      </c>
      <c r="C86" s="111"/>
      <c r="D86" s="112">
        <v>49</v>
      </c>
      <c r="E86" s="113"/>
      <c r="F86" s="184">
        <v>29</v>
      </c>
      <c r="G86" s="206">
        <v>39.200000000000003</v>
      </c>
    </row>
    <row r="87" spans="1:9" x14ac:dyDescent="0.2">
      <c r="A87" s="50" t="s">
        <v>1168</v>
      </c>
      <c r="B87" s="50" t="s">
        <v>1586</v>
      </c>
      <c r="C87" s="111">
        <v>2.2000000000000002</v>
      </c>
      <c r="D87" s="112"/>
      <c r="E87" s="113">
        <v>8</v>
      </c>
      <c r="F87" s="181">
        <v>1.95</v>
      </c>
      <c r="G87" s="206">
        <v>7.9</v>
      </c>
      <c r="H87" s="181">
        <v>25</v>
      </c>
      <c r="I87" s="206">
        <v>100</v>
      </c>
    </row>
    <row r="88" spans="1:9" x14ac:dyDescent="0.2">
      <c r="A88" s="50" t="s">
        <v>1169</v>
      </c>
      <c r="B88" s="50" t="s">
        <v>1517</v>
      </c>
      <c r="C88" s="111">
        <v>2.9</v>
      </c>
      <c r="D88" s="112"/>
      <c r="E88" s="113">
        <v>10.41</v>
      </c>
      <c r="F88" s="181">
        <v>2.95</v>
      </c>
      <c r="G88" s="206">
        <v>10.9</v>
      </c>
      <c r="H88" s="181">
        <v>25</v>
      </c>
      <c r="I88" s="206">
        <v>100</v>
      </c>
    </row>
    <row r="89" spans="1:9" x14ac:dyDescent="0.2">
      <c r="A89" s="50" t="s">
        <v>1321</v>
      </c>
      <c r="B89" s="50" t="s">
        <v>1164</v>
      </c>
      <c r="C89" s="111">
        <v>71.8</v>
      </c>
      <c r="D89" s="112"/>
      <c r="E89" s="113">
        <v>83.6</v>
      </c>
      <c r="F89" s="181"/>
      <c r="G89" s="206">
        <v>70</v>
      </c>
      <c r="H89" s="206" t="s">
        <v>1627</v>
      </c>
    </row>
    <row r="90" spans="1:9" x14ac:dyDescent="0.2">
      <c r="A90" s="50" t="s">
        <v>1149</v>
      </c>
      <c r="B90" s="50" t="s">
        <v>1618</v>
      </c>
      <c r="C90" s="111">
        <v>1.6</v>
      </c>
      <c r="D90" s="112"/>
      <c r="E90" s="113">
        <v>4.95</v>
      </c>
      <c r="F90" s="181">
        <v>1.7</v>
      </c>
      <c r="G90" s="206">
        <v>1.6</v>
      </c>
      <c r="H90" s="206" t="s">
        <v>1604</v>
      </c>
    </row>
    <row r="91" spans="1:9" x14ac:dyDescent="0.2">
      <c r="A91" s="50" t="s">
        <v>1171</v>
      </c>
      <c r="B91" s="50">
        <v>25</v>
      </c>
      <c r="C91" s="111">
        <v>3</v>
      </c>
      <c r="D91" s="112"/>
      <c r="E91" s="113">
        <v>10.41</v>
      </c>
      <c r="F91" s="181"/>
      <c r="G91" s="206"/>
    </row>
    <row r="92" spans="1:9" x14ac:dyDescent="0.2">
      <c r="A92" s="50" t="s">
        <v>1167</v>
      </c>
      <c r="B92" s="50" t="s">
        <v>1617</v>
      </c>
      <c r="C92" s="111">
        <v>3.5</v>
      </c>
      <c r="D92" s="112"/>
      <c r="E92" s="113"/>
      <c r="F92" s="181"/>
      <c r="G92" s="206">
        <v>8.8000000000000007</v>
      </c>
      <c r="H92" s="206" t="s">
        <v>1625</v>
      </c>
    </row>
    <row r="93" spans="1:9" x14ac:dyDescent="0.2">
      <c r="A93" s="50" t="s">
        <v>1211</v>
      </c>
      <c r="B93" s="50" t="s">
        <v>1185</v>
      </c>
      <c r="C93" s="111"/>
      <c r="D93" s="112">
        <v>42</v>
      </c>
      <c r="E93" s="113">
        <v>42</v>
      </c>
      <c r="F93" s="181"/>
      <c r="G93" s="206"/>
    </row>
    <row r="94" spans="1:9" x14ac:dyDescent="0.2">
      <c r="A94" s="50" t="s">
        <v>1245</v>
      </c>
      <c r="B94" s="50" t="s">
        <v>1246</v>
      </c>
      <c r="C94" s="111"/>
      <c r="D94" s="112"/>
      <c r="E94" s="113"/>
      <c r="F94" s="181"/>
      <c r="G94" s="206"/>
    </row>
    <row r="95" spans="1:9" x14ac:dyDescent="0.2">
      <c r="A95" s="50" t="s">
        <v>1431</v>
      </c>
      <c r="B95" s="50" t="s">
        <v>1357</v>
      </c>
      <c r="C95" s="111"/>
      <c r="D95" s="112"/>
      <c r="E95" s="113">
        <v>115</v>
      </c>
      <c r="F95" s="181"/>
      <c r="G95" s="206"/>
    </row>
    <row r="96" spans="1:9" x14ac:dyDescent="0.2">
      <c r="A96" s="50" t="s">
        <v>1430</v>
      </c>
      <c r="B96" s="50" t="s">
        <v>1357</v>
      </c>
      <c r="C96" s="111"/>
      <c r="D96" s="112"/>
      <c r="E96" s="113">
        <v>115</v>
      </c>
      <c r="F96" s="181"/>
      <c r="G96" s="206"/>
    </row>
    <row r="97" spans="1:7" x14ac:dyDescent="0.2">
      <c r="A97" s="130" t="s">
        <v>1515</v>
      </c>
      <c r="B97" s="123">
        <v>72</v>
      </c>
      <c r="C97" s="111"/>
      <c r="D97" s="112"/>
      <c r="E97" s="113">
        <v>105</v>
      </c>
      <c r="F97" s="181"/>
      <c r="G97" s="206"/>
    </row>
    <row r="98" spans="1:7" x14ac:dyDescent="0.2">
      <c r="A98" s="50" t="s">
        <v>1288</v>
      </c>
      <c r="B98" s="50"/>
      <c r="C98" s="111"/>
      <c r="D98" s="112"/>
      <c r="E98" s="113"/>
      <c r="F98" s="181"/>
      <c r="G98" s="206"/>
    </row>
    <row r="99" spans="1:7" x14ac:dyDescent="0.2">
      <c r="A99" s="50" t="s">
        <v>1180</v>
      </c>
      <c r="B99" s="50">
        <v>400</v>
      </c>
      <c r="C99" s="111">
        <v>0.54</v>
      </c>
      <c r="D99" s="112"/>
      <c r="E99" s="113"/>
      <c r="F99" s="184">
        <v>0.48</v>
      </c>
      <c r="G99" s="206">
        <v>0.5</v>
      </c>
    </row>
    <row r="100" spans="1:7" x14ac:dyDescent="0.2">
      <c r="A100" s="50" t="s">
        <v>1183</v>
      </c>
      <c r="B100" s="50">
        <v>600</v>
      </c>
      <c r="C100" s="111">
        <v>0.55000000000000004</v>
      </c>
      <c r="D100" s="112"/>
      <c r="E100" s="113"/>
      <c r="F100" s="181"/>
      <c r="G100" s="206">
        <v>0.42</v>
      </c>
    </row>
    <row r="101" spans="1:7" x14ac:dyDescent="0.2">
      <c r="A101" s="50" t="s">
        <v>1176</v>
      </c>
      <c r="B101" s="50">
        <v>200</v>
      </c>
      <c r="C101" s="111">
        <v>1.05</v>
      </c>
      <c r="D101" s="112"/>
      <c r="E101" s="113"/>
      <c r="F101" s="181"/>
      <c r="G101" s="206">
        <v>0.92</v>
      </c>
    </row>
    <row r="102" spans="1:7" x14ac:dyDescent="0.2">
      <c r="A102" s="50" t="s">
        <v>1160</v>
      </c>
      <c r="B102" s="50">
        <v>1</v>
      </c>
      <c r="C102" s="111">
        <v>2.5</v>
      </c>
      <c r="D102" s="112"/>
      <c r="E102" s="113">
        <v>2.5</v>
      </c>
      <c r="F102" s="181">
        <v>2.2999999999999998</v>
      </c>
      <c r="G102" s="206">
        <v>2.2000000000000002</v>
      </c>
    </row>
    <row r="103" spans="1:7" x14ac:dyDescent="0.2">
      <c r="A103" s="124" t="s">
        <v>1594</v>
      </c>
      <c r="B103" s="123" t="s">
        <v>1044</v>
      </c>
      <c r="C103" s="111"/>
      <c r="D103" s="112"/>
      <c r="E103" s="113">
        <v>11.8</v>
      </c>
      <c r="F103" s="181"/>
      <c r="G103" s="206"/>
    </row>
    <row r="104" spans="1:7" x14ac:dyDescent="0.2">
      <c r="A104" s="220" t="s">
        <v>1629</v>
      </c>
      <c r="D104" s="122">
        <v>2.2999999999999998</v>
      </c>
      <c r="G104"/>
    </row>
    <row r="105" spans="1:7" x14ac:dyDescent="0.2">
      <c r="G105"/>
    </row>
    <row r="106" spans="1:7" x14ac:dyDescent="0.2">
      <c r="G106"/>
    </row>
    <row r="107" spans="1:7" x14ac:dyDescent="0.2">
      <c r="G107"/>
    </row>
    <row r="108" spans="1:7" x14ac:dyDescent="0.2">
      <c r="G108"/>
    </row>
    <row r="109" spans="1:7" x14ac:dyDescent="0.2">
      <c r="G109"/>
    </row>
    <row r="110" spans="1:7" x14ac:dyDescent="0.2">
      <c r="G110"/>
    </row>
    <row r="111" spans="1:7" x14ac:dyDescent="0.2">
      <c r="G111"/>
    </row>
    <row r="112" spans="1:7" x14ac:dyDescent="0.2">
      <c r="G112"/>
    </row>
    <row r="113" spans="7:7" x14ac:dyDescent="0.2">
      <c r="G113"/>
    </row>
    <row r="114" spans="7:7" x14ac:dyDescent="0.2">
      <c r="G114"/>
    </row>
    <row r="115" spans="7:7" x14ac:dyDescent="0.2">
      <c r="G115"/>
    </row>
    <row r="116" spans="7:7" x14ac:dyDescent="0.2">
      <c r="G116"/>
    </row>
    <row r="117" spans="7:7" x14ac:dyDescent="0.2">
      <c r="G117"/>
    </row>
    <row r="118" spans="7:7" x14ac:dyDescent="0.2">
      <c r="G118"/>
    </row>
    <row r="119" spans="7:7" x14ac:dyDescent="0.2">
      <c r="G119"/>
    </row>
    <row r="120" spans="7:7" x14ac:dyDescent="0.2">
      <c r="G120"/>
    </row>
    <row r="121" spans="7:7" x14ac:dyDescent="0.2">
      <c r="G121"/>
    </row>
    <row r="122" spans="7:7" x14ac:dyDescent="0.2">
      <c r="G122"/>
    </row>
    <row r="123" spans="7:7" x14ac:dyDescent="0.2">
      <c r="G123"/>
    </row>
    <row r="124" spans="7:7" x14ac:dyDescent="0.2">
      <c r="G124"/>
    </row>
    <row r="125" spans="7:7" x14ac:dyDescent="0.2">
      <c r="G125"/>
    </row>
    <row r="126" spans="7:7" x14ac:dyDescent="0.2">
      <c r="G126"/>
    </row>
    <row r="127" spans="7:7" x14ac:dyDescent="0.2">
      <c r="G127"/>
    </row>
    <row r="128" spans="7:7" x14ac:dyDescent="0.2">
      <c r="G128"/>
    </row>
    <row r="129" spans="7:7" x14ac:dyDescent="0.2">
      <c r="G129"/>
    </row>
    <row r="130" spans="7:7" x14ac:dyDescent="0.2">
      <c r="G130"/>
    </row>
    <row r="131" spans="7:7" x14ac:dyDescent="0.2">
      <c r="G131"/>
    </row>
    <row r="132" spans="7:7" x14ac:dyDescent="0.2">
      <c r="G132"/>
    </row>
    <row r="133" spans="7:7" x14ac:dyDescent="0.2">
      <c r="G133"/>
    </row>
    <row r="134" spans="7:7" x14ac:dyDescent="0.2">
      <c r="G134"/>
    </row>
    <row r="135" spans="7:7" x14ac:dyDescent="0.2">
      <c r="G135"/>
    </row>
    <row r="136" spans="7:7" x14ac:dyDescent="0.2">
      <c r="G136"/>
    </row>
    <row r="137" spans="7:7" x14ac:dyDescent="0.2">
      <c r="G137"/>
    </row>
    <row r="138" spans="7:7" x14ac:dyDescent="0.2">
      <c r="G138"/>
    </row>
    <row r="139" spans="7:7" x14ac:dyDescent="0.2">
      <c r="G139"/>
    </row>
    <row r="140" spans="7:7" x14ac:dyDescent="0.2">
      <c r="G140"/>
    </row>
    <row r="141" spans="7:7" x14ac:dyDescent="0.2">
      <c r="G141"/>
    </row>
    <row r="142" spans="7:7" x14ac:dyDescent="0.2">
      <c r="G142"/>
    </row>
    <row r="143" spans="7:7" x14ac:dyDescent="0.2">
      <c r="G143"/>
    </row>
    <row r="144" spans="7:7" x14ac:dyDescent="0.2">
      <c r="G144"/>
    </row>
    <row r="145" spans="7:7" x14ac:dyDescent="0.2">
      <c r="G145"/>
    </row>
    <row r="146" spans="7:7" x14ac:dyDescent="0.2">
      <c r="G146"/>
    </row>
    <row r="147" spans="7:7" x14ac:dyDescent="0.2">
      <c r="G147"/>
    </row>
    <row r="148" spans="7:7" x14ac:dyDescent="0.2">
      <c r="G148"/>
    </row>
    <row r="149" spans="7:7" x14ac:dyDescent="0.2">
      <c r="G149"/>
    </row>
    <row r="150" spans="7:7" x14ac:dyDescent="0.2">
      <c r="G150"/>
    </row>
    <row r="151" spans="7:7" x14ac:dyDescent="0.2">
      <c r="G151"/>
    </row>
    <row r="152" spans="7:7" x14ac:dyDescent="0.2">
      <c r="G152"/>
    </row>
    <row r="153" spans="7:7" x14ac:dyDescent="0.2">
      <c r="G153"/>
    </row>
    <row r="154" spans="7:7" x14ac:dyDescent="0.2">
      <c r="G154"/>
    </row>
    <row r="155" spans="7:7" x14ac:dyDescent="0.2">
      <c r="G155"/>
    </row>
    <row r="156" spans="7:7" x14ac:dyDescent="0.2">
      <c r="G156"/>
    </row>
    <row r="157" spans="7:7" x14ac:dyDescent="0.2">
      <c r="G157"/>
    </row>
    <row r="158" spans="7:7" x14ac:dyDescent="0.2">
      <c r="G158"/>
    </row>
    <row r="159" spans="7:7" x14ac:dyDescent="0.2">
      <c r="G159"/>
    </row>
    <row r="160" spans="7:7" x14ac:dyDescent="0.2">
      <c r="G160"/>
    </row>
    <row r="161" spans="7:7" x14ac:dyDescent="0.2">
      <c r="G161"/>
    </row>
    <row r="162" spans="7:7" x14ac:dyDescent="0.2">
      <c r="G162"/>
    </row>
    <row r="163" spans="7:7" x14ac:dyDescent="0.2">
      <c r="G163"/>
    </row>
    <row r="164" spans="7:7" x14ac:dyDescent="0.2">
      <c r="G164"/>
    </row>
    <row r="165" spans="7:7" x14ac:dyDescent="0.2">
      <c r="G165"/>
    </row>
    <row r="166" spans="7:7" x14ac:dyDescent="0.2">
      <c r="G166"/>
    </row>
    <row r="167" spans="7:7" x14ac:dyDescent="0.2">
      <c r="G167"/>
    </row>
    <row r="168" spans="7:7" x14ac:dyDescent="0.2">
      <c r="G168"/>
    </row>
    <row r="169" spans="7:7" x14ac:dyDescent="0.2">
      <c r="G169"/>
    </row>
    <row r="170" spans="7:7" x14ac:dyDescent="0.2">
      <c r="G170"/>
    </row>
    <row r="171" spans="7:7" x14ac:dyDescent="0.2">
      <c r="G171"/>
    </row>
    <row r="172" spans="7:7" x14ac:dyDescent="0.2">
      <c r="G172"/>
    </row>
    <row r="173" spans="7:7" x14ac:dyDescent="0.2">
      <c r="G173"/>
    </row>
    <row r="174" spans="7:7" x14ac:dyDescent="0.2">
      <c r="G174"/>
    </row>
    <row r="175" spans="7:7" x14ac:dyDescent="0.2">
      <c r="G175"/>
    </row>
    <row r="176" spans="7:7" x14ac:dyDescent="0.2">
      <c r="G176"/>
    </row>
    <row r="177" spans="7:7" x14ac:dyDescent="0.2">
      <c r="G177"/>
    </row>
    <row r="178" spans="7:7" x14ac:dyDescent="0.2">
      <c r="G178"/>
    </row>
    <row r="179" spans="7:7" x14ac:dyDescent="0.2">
      <c r="G179"/>
    </row>
    <row r="180" spans="7:7" x14ac:dyDescent="0.2">
      <c r="G180"/>
    </row>
    <row r="181" spans="7:7" x14ac:dyDescent="0.2">
      <c r="G181"/>
    </row>
    <row r="182" spans="7:7" x14ac:dyDescent="0.2">
      <c r="G182"/>
    </row>
    <row r="183" spans="7:7" x14ac:dyDescent="0.2">
      <c r="G183"/>
    </row>
    <row r="184" spans="7:7" x14ac:dyDescent="0.2">
      <c r="G184"/>
    </row>
    <row r="185" spans="7:7" x14ac:dyDescent="0.2">
      <c r="G185"/>
    </row>
    <row r="186" spans="7:7" x14ac:dyDescent="0.2">
      <c r="G186"/>
    </row>
    <row r="187" spans="7:7" x14ac:dyDescent="0.2">
      <c r="G187"/>
    </row>
    <row r="188" spans="7:7" x14ac:dyDescent="0.2">
      <c r="G188"/>
    </row>
    <row r="189" spans="7:7" x14ac:dyDescent="0.2">
      <c r="G189"/>
    </row>
    <row r="190" spans="7:7" x14ac:dyDescent="0.2">
      <c r="G190"/>
    </row>
    <row r="191" spans="7:7" x14ac:dyDescent="0.2">
      <c r="G191"/>
    </row>
    <row r="192" spans="7:7" x14ac:dyDescent="0.2">
      <c r="G192"/>
    </row>
    <row r="193" spans="7:7" x14ac:dyDescent="0.2">
      <c r="G193"/>
    </row>
    <row r="194" spans="7:7" x14ac:dyDescent="0.2">
      <c r="G194"/>
    </row>
    <row r="195" spans="7:7" x14ac:dyDescent="0.2">
      <c r="G195"/>
    </row>
    <row r="196" spans="7:7" x14ac:dyDescent="0.2">
      <c r="G196"/>
    </row>
    <row r="197" spans="7:7" x14ac:dyDescent="0.2">
      <c r="G197"/>
    </row>
    <row r="198" spans="7:7" x14ac:dyDescent="0.2">
      <c r="G198"/>
    </row>
    <row r="199" spans="7:7" x14ac:dyDescent="0.2">
      <c r="G199"/>
    </row>
    <row r="200" spans="7:7" x14ac:dyDescent="0.2">
      <c r="G200"/>
    </row>
    <row r="201" spans="7:7" x14ac:dyDescent="0.2">
      <c r="G201"/>
    </row>
    <row r="202" spans="7:7" x14ac:dyDescent="0.2">
      <c r="G202"/>
    </row>
    <row r="203" spans="7:7" x14ac:dyDescent="0.2">
      <c r="G203"/>
    </row>
    <row r="204" spans="7:7" x14ac:dyDescent="0.2">
      <c r="G204"/>
    </row>
    <row r="205" spans="7:7" x14ac:dyDescent="0.2">
      <c r="G205"/>
    </row>
    <row r="206" spans="7:7" x14ac:dyDescent="0.2">
      <c r="G206"/>
    </row>
    <row r="207" spans="7:7" x14ac:dyDescent="0.2">
      <c r="G207"/>
    </row>
    <row r="208" spans="7:7" x14ac:dyDescent="0.2">
      <c r="G208"/>
    </row>
    <row r="209" spans="7:7" x14ac:dyDescent="0.2">
      <c r="G209"/>
    </row>
    <row r="210" spans="7:7" x14ac:dyDescent="0.2">
      <c r="G210"/>
    </row>
    <row r="211" spans="7:7" x14ac:dyDescent="0.2">
      <c r="G211"/>
    </row>
    <row r="212" spans="7:7" x14ac:dyDescent="0.2">
      <c r="G212"/>
    </row>
    <row r="213" spans="7:7" x14ac:dyDescent="0.2">
      <c r="G213"/>
    </row>
    <row r="214" spans="7:7" x14ac:dyDescent="0.2">
      <c r="G214"/>
    </row>
    <row r="215" spans="7:7" x14ac:dyDescent="0.2">
      <c r="G215"/>
    </row>
    <row r="216" spans="7:7" x14ac:dyDescent="0.2">
      <c r="G216"/>
    </row>
    <row r="217" spans="7:7" x14ac:dyDescent="0.2">
      <c r="G217"/>
    </row>
    <row r="218" spans="7:7" x14ac:dyDescent="0.2">
      <c r="G218"/>
    </row>
    <row r="219" spans="7:7" x14ac:dyDescent="0.2">
      <c r="G219"/>
    </row>
    <row r="220" spans="7:7" x14ac:dyDescent="0.2">
      <c r="G220"/>
    </row>
    <row r="221" spans="7:7" x14ac:dyDescent="0.2">
      <c r="G221"/>
    </row>
    <row r="222" spans="7:7" x14ac:dyDescent="0.2">
      <c r="G222"/>
    </row>
    <row r="223" spans="7:7" x14ac:dyDescent="0.2">
      <c r="G223"/>
    </row>
    <row r="224" spans="7:7" x14ac:dyDescent="0.2">
      <c r="G224"/>
    </row>
    <row r="225" spans="7:7" x14ac:dyDescent="0.2">
      <c r="G225"/>
    </row>
    <row r="226" spans="7:7" x14ac:dyDescent="0.2">
      <c r="G226"/>
    </row>
    <row r="227" spans="7:7" x14ac:dyDescent="0.2">
      <c r="G227"/>
    </row>
    <row r="228" spans="7:7" x14ac:dyDescent="0.2">
      <c r="G228"/>
    </row>
    <row r="229" spans="7:7" x14ac:dyDescent="0.2">
      <c r="G229"/>
    </row>
    <row r="230" spans="7:7" x14ac:dyDescent="0.2">
      <c r="G230"/>
    </row>
    <row r="231" spans="7:7" x14ac:dyDescent="0.2">
      <c r="G231"/>
    </row>
    <row r="232" spans="7:7" x14ac:dyDescent="0.2">
      <c r="G232"/>
    </row>
    <row r="233" spans="7:7" x14ac:dyDescent="0.2">
      <c r="G233"/>
    </row>
    <row r="234" spans="7:7" x14ac:dyDescent="0.2">
      <c r="G234"/>
    </row>
    <row r="235" spans="7:7" x14ac:dyDescent="0.2">
      <c r="G235"/>
    </row>
    <row r="236" spans="7:7" x14ac:dyDescent="0.2">
      <c r="G236"/>
    </row>
    <row r="237" spans="7:7" x14ac:dyDescent="0.2">
      <c r="G237"/>
    </row>
    <row r="238" spans="7:7" x14ac:dyDescent="0.2">
      <c r="G238"/>
    </row>
    <row r="239" spans="7:7" x14ac:dyDescent="0.2">
      <c r="G239"/>
    </row>
    <row r="240" spans="7:7" x14ac:dyDescent="0.2">
      <c r="G240"/>
    </row>
    <row r="241" spans="7:7" x14ac:dyDescent="0.2">
      <c r="G241"/>
    </row>
    <row r="242" spans="7:7" x14ac:dyDescent="0.2">
      <c r="G242"/>
    </row>
    <row r="243" spans="7:7" x14ac:dyDescent="0.2">
      <c r="G243"/>
    </row>
    <row r="244" spans="7:7" x14ac:dyDescent="0.2">
      <c r="G244"/>
    </row>
    <row r="245" spans="7:7" x14ac:dyDescent="0.2">
      <c r="G245"/>
    </row>
    <row r="246" spans="7:7" x14ac:dyDescent="0.2">
      <c r="G246"/>
    </row>
    <row r="247" spans="7:7" x14ac:dyDescent="0.2">
      <c r="G247"/>
    </row>
    <row r="248" spans="7:7" x14ac:dyDescent="0.2">
      <c r="G248"/>
    </row>
    <row r="249" spans="7:7" x14ac:dyDescent="0.2">
      <c r="G249"/>
    </row>
    <row r="250" spans="7:7" x14ac:dyDescent="0.2">
      <c r="G250"/>
    </row>
    <row r="251" spans="7:7" x14ac:dyDescent="0.2">
      <c r="G251"/>
    </row>
    <row r="252" spans="7:7" x14ac:dyDescent="0.2">
      <c r="G252"/>
    </row>
    <row r="253" spans="7:7" x14ac:dyDescent="0.2">
      <c r="G253"/>
    </row>
    <row r="254" spans="7:7" x14ac:dyDescent="0.2">
      <c r="G254"/>
    </row>
    <row r="255" spans="7:7" x14ac:dyDescent="0.2">
      <c r="G255"/>
    </row>
    <row r="256" spans="7:7" x14ac:dyDescent="0.2">
      <c r="G256"/>
    </row>
    <row r="257" spans="7:7" x14ac:dyDescent="0.2">
      <c r="G257"/>
    </row>
    <row r="258" spans="7:7" x14ac:dyDescent="0.2">
      <c r="G258"/>
    </row>
    <row r="259" spans="7:7" x14ac:dyDescent="0.2">
      <c r="G259"/>
    </row>
    <row r="260" spans="7:7" x14ac:dyDescent="0.2">
      <c r="G260"/>
    </row>
    <row r="261" spans="7:7" x14ac:dyDescent="0.2">
      <c r="G261"/>
    </row>
    <row r="262" spans="7:7" x14ac:dyDescent="0.2">
      <c r="G262"/>
    </row>
    <row r="263" spans="7:7" x14ac:dyDescent="0.2">
      <c r="G263"/>
    </row>
    <row r="264" spans="7:7" x14ac:dyDescent="0.2">
      <c r="G264"/>
    </row>
    <row r="265" spans="7:7" x14ac:dyDescent="0.2">
      <c r="G265"/>
    </row>
    <row r="266" spans="7:7" x14ac:dyDescent="0.2">
      <c r="G266"/>
    </row>
    <row r="267" spans="7:7" x14ac:dyDescent="0.2">
      <c r="G267"/>
    </row>
    <row r="268" spans="7:7" x14ac:dyDescent="0.2">
      <c r="G268"/>
    </row>
    <row r="269" spans="7:7" x14ac:dyDescent="0.2">
      <c r="G269"/>
    </row>
    <row r="270" spans="7:7" x14ac:dyDescent="0.2">
      <c r="G270"/>
    </row>
    <row r="271" spans="7:7" x14ac:dyDescent="0.2">
      <c r="G271"/>
    </row>
    <row r="272" spans="7:7" x14ac:dyDescent="0.2">
      <c r="G272"/>
    </row>
    <row r="273" spans="7:7" x14ac:dyDescent="0.2">
      <c r="G273"/>
    </row>
    <row r="274" spans="7:7" x14ac:dyDescent="0.2">
      <c r="G274"/>
    </row>
    <row r="275" spans="7:7" x14ac:dyDescent="0.2">
      <c r="G275"/>
    </row>
    <row r="276" spans="7:7" x14ac:dyDescent="0.2">
      <c r="G276"/>
    </row>
    <row r="277" spans="7:7" x14ac:dyDescent="0.2">
      <c r="G277"/>
    </row>
    <row r="278" spans="7:7" x14ac:dyDescent="0.2">
      <c r="G278"/>
    </row>
    <row r="279" spans="7:7" x14ac:dyDescent="0.2">
      <c r="G279"/>
    </row>
    <row r="280" spans="7:7" x14ac:dyDescent="0.2">
      <c r="G280"/>
    </row>
    <row r="281" spans="7:7" x14ac:dyDescent="0.2">
      <c r="G281"/>
    </row>
    <row r="282" spans="7:7" x14ac:dyDescent="0.2">
      <c r="G282"/>
    </row>
    <row r="283" spans="7:7" x14ac:dyDescent="0.2">
      <c r="G283"/>
    </row>
    <row r="284" spans="7:7" x14ac:dyDescent="0.2">
      <c r="G284"/>
    </row>
    <row r="285" spans="7:7" x14ac:dyDescent="0.2">
      <c r="G285"/>
    </row>
    <row r="286" spans="7:7" x14ac:dyDescent="0.2">
      <c r="G286"/>
    </row>
    <row r="287" spans="7:7" x14ac:dyDescent="0.2">
      <c r="G287"/>
    </row>
    <row r="288" spans="7:7" x14ac:dyDescent="0.2">
      <c r="G288"/>
    </row>
    <row r="289" spans="7:7" x14ac:dyDescent="0.2">
      <c r="G289"/>
    </row>
    <row r="290" spans="7:7" x14ac:dyDescent="0.2">
      <c r="G290"/>
    </row>
    <row r="291" spans="7:7" x14ac:dyDescent="0.2">
      <c r="G291"/>
    </row>
    <row r="292" spans="7:7" x14ac:dyDescent="0.2">
      <c r="G292"/>
    </row>
    <row r="293" spans="7:7" x14ac:dyDescent="0.2">
      <c r="G293"/>
    </row>
    <row r="294" spans="7:7" x14ac:dyDescent="0.2">
      <c r="G294"/>
    </row>
    <row r="295" spans="7:7" x14ac:dyDescent="0.2">
      <c r="G295"/>
    </row>
    <row r="296" spans="7:7" x14ac:dyDescent="0.2">
      <c r="G296"/>
    </row>
    <row r="297" spans="7:7" x14ac:dyDescent="0.2">
      <c r="G297"/>
    </row>
    <row r="298" spans="7:7" x14ac:dyDescent="0.2">
      <c r="G298"/>
    </row>
    <row r="299" spans="7:7" x14ac:dyDescent="0.2">
      <c r="G299"/>
    </row>
    <row r="300" spans="7:7" x14ac:dyDescent="0.2">
      <c r="G300"/>
    </row>
    <row r="301" spans="7:7" x14ac:dyDescent="0.2">
      <c r="G301"/>
    </row>
    <row r="302" spans="7:7" x14ac:dyDescent="0.2">
      <c r="G302"/>
    </row>
    <row r="303" spans="7:7" x14ac:dyDescent="0.2">
      <c r="G303"/>
    </row>
    <row r="304" spans="7:7" x14ac:dyDescent="0.2">
      <c r="G304"/>
    </row>
    <row r="305" spans="7:7" x14ac:dyDescent="0.2">
      <c r="G305"/>
    </row>
    <row r="306" spans="7:7" x14ac:dyDescent="0.2">
      <c r="G306"/>
    </row>
    <row r="307" spans="7:7" x14ac:dyDescent="0.2">
      <c r="G307"/>
    </row>
    <row r="308" spans="7:7" x14ac:dyDescent="0.2">
      <c r="G308"/>
    </row>
    <row r="309" spans="7:7" x14ac:dyDescent="0.2">
      <c r="G309"/>
    </row>
    <row r="310" spans="7:7" x14ac:dyDescent="0.2">
      <c r="G310"/>
    </row>
    <row r="311" spans="7:7" x14ac:dyDescent="0.2">
      <c r="G311"/>
    </row>
    <row r="312" spans="7:7" x14ac:dyDescent="0.2">
      <c r="G312"/>
    </row>
    <row r="313" spans="7:7" x14ac:dyDescent="0.2">
      <c r="G313"/>
    </row>
    <row r="314" spans="7:7" x14ac:dyDescent="0.2">
      <c r="G314"/>
    </row>
    <row r="315" spans="7:7" x14ac:dyDescent="0.2">
      <c r="G315"/>
    </row>
    <row r="316" spans="7:7" x14ac:dyDescent="0.2">
      <c r="G316"/>
    </row>
    <row r="317" spans="7:7" x14ac:dyDescent="0.2">
      <c r="G317"/>
    </row>
    <row r="318" spans="7:7" x14ac:dyDescent="0.2">
      <c r="G318"/>
    </row>
    <row r="319" spans="7:7" x14ac:dyDescent="0.2">
      <c r="G319"/>
    </row>
    <row r="320" spans="7:7" x14ac:dyDescent="0.2">
      <c r="G320"/>
    </row>
    <row r="321" spans="7:7" x14ac:dyDescent="0.2">
      <c r="G321"/>
    </row>
    <row r="322" spans="7:7" x14ac:dyDescent="0.2">
      <c r="G322"/>
    </row>
    <row r="323" spans="7:7" x14ac:dyDescent="0.2">
      <c r="G323"/>
    </row>
    <row r="324" spans="7:7" x14ac:dyDescent="0.2">
      <c r="G324"/>
    </row>
    <row r="325" spans="7:7" x14ac:dyDescent="0.2">
      <c r="G325"/>
    </row>
    <row r="326" spans="7:7" x14ac:dyDescent="0.2">
      <c r="G326"/>
    </row>
    <row r="327" spans="7:7" x14ac:dyDescent="0.2">
      <c r="G327"/>
    </row>
    <row r="328" spans="7:7" x14ac:dyDescent="0.2">
      <c r="G328"/>
    </row>
    <row r="329" spans="7:7" x14ac:dyDescent="0.2">
      <c r="G329"/>
    </row>
    <row r="330" spans="7:7" x14ac:dyDescent="0.2">
      <c r="G330"/>
    </row>
    <row r="331" spans="7:7" x14ac:dyDescent="0.2">
      <c r="G331"/>
    </row>
    <row r="332" spans="7:7" x14ac:dyDescent="0.2">
      <c r="G332"/>
    </row>
    <row r="333" spans="7:7" x14ac:dyDescent="0.2">
      <c r="G333"/>
    </row>
    <row r="334" spans="7:7" x14ac:dyDescent="0.2">
      <c r="G334"/>
    </row>
    <row r="335" spans="7:7" x14ac:dyDescent="0.2">
      <c r="G335"/>
    </row>
    <row r="336" spans="7:7" x14ac:dyDescent="0.2">
      <c r="G336"/>
    </row>
    <row r="337" spans="7:7" x14ac:dyDescent="0.2">
      <c r="G337"/>
    </row>
    <row r="338" spans="7:7" x14ac:dyDescent="0.2">
      <c r="G338"/>
    </row>
    <row r="339" spans="7:7" x14ac:dyDescent="0.2">
      <c r="G339"/>
    </row>
    <row r="340" spans="7:7" x14ac:dyDescent="0.2">
      <c r="G340"/>
    </row>
    <row r="341" spans="7:7" x14ac:dyDescent="0.2">
      <c r="G341"/>
    </row>
    <row r="342" spans="7:7" x14ac:dyDescent="0.2">
      <c r="G342"/>
    </row>
    <row r="343" spans="7:7" x14ac:dyDescent="0.2">
      <c r="G343"/>
    </row>
    <row r="344" spans="7:7" x14ac:dyDescent="0.2">
      <c r="G344"/>
    </row>
    <row r="345" spans="7:7" x14ac:dyDescent="0.2">
      <c r="G345"/>
    </row>
    <row r="346" spans="7:7" x14ac:dyDescent="0.2">
      <c r="G346"/>
    </row>
    <row r="347" spans="7:7" x14ac:dyDescent="0.2">
      <c r="G347"/>
    </row>
    <row r="348" spans="7:7" x14ac:dyDescent="0.2">
      <c r="G348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0165-A506-4277-96FC-6618485F4819}">
  <dimension ref="A1:C6"/>
  <sheetViews>
    <sheetView rightToLeft="1" workbookViewId="0">
      <selection activeCell="B4" sqref="B4"/>
    </sheetView>
  </sheetViews>
  <sheetFormatPr defaultRowHeight="12.75" x14ac:dyDescent="0.2"/>
  <cols>
    <col min="1" max="1" width="13.42578125" customWidth="1"/>
    <col min="3" max="3" width="13.42578125" customWidth="1"/>
  </cols>
  <sheetData>
    <row r="1" spans="1:3" x14ac:dyDescent="0.2">
      <c r="B1" s="185" t="s">
        <v>1595</v>
      </c>
      <c r="C1" s="185" t="s">
        <v>1596</v>
      </c>
    </row>
    <row r="2" spans="1:3" x14ac:dyDescent="0.2">
      <c r="A2" s="186" t="s">
        <v>1490</v>
      </c>
      <c r="B2" s="51">
        <v>18.5</v>
      </c>
      <c r="C2" s="51">
        <v>9.98</v>
      </c>
    </row>
    <row r="3" spans="1:3" x14ac:dyDescent="0.2">
      <c r="A3" s="186" t="s">
        <v>1489</v>
      </c>
      <c r="B3" s="51">
        <v>10.8</v>
      </c>
      <c r="C3" s="51">
        <v>4.41</v>
      </c>
    </row>
    <row r="4" spans="1:3" x14ac:dyDescent="0.2">
      <c r="A4" s="186" t="s">
        <v>1492</v>
      </c>
      <c r="B4" s="51">
        <v>6.54</v>
      </c>
      <c r="C4" s="51">
        <v>4.95</v>
      </c>
    </row>
    <row r="5" spans="1:3" x14ac:dyDescent="0.2">
      <c r="A5" s="186" t="s">
        <v>1491</v>
      </c>
      <c r="B5" s="51">
        <v>7.49</v>
      </c>
      <c r="C5" s="51">
        <v>4.83</v>
      </c>
    </row>
    <row r="6" spans="1:3" x14ac:dyDescent="0.2">
      <c r="A6" s="186" t="s">
        <v>1488</v>
      </c>
      <c r="B6" s="51">
        <v>18.5</v>
      </c>
      <c r="C6" s="51">
        <v>8.1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B8F3-A203-4702-B5B3-689E9549774D}">
  <dimension ref="A1:C6"/>
  <sheetViews>
    <sheetView rightToLeft="1" workbookViewId="0">
      <selection activeCell="D26" sqref="D26"/>
    </sheetView>
  </sheetViews>
  <sheetFormatPr defaultRowHeight="12.75" x14ac:dyDescent="0.2"/>
  <cols>
    <col min="1" max="1" width="36.7109375" customWidth="1"/>
    <col min="3" max="3" width="18.5703125" customWidth="1"/>
  </cols>
  <sheetData>
    <row r="1" spans="1:3" ht="18" x14ac:dyDescent="0.25">
      <c r="A1" s="219" t="s">
        <v>1206</v>
      </c>
      <c r="B1" s="219"/>
      <c r="C1" s="58"/>
    </row>
    <row r="2" spans="1:3" ht="18" x14ac:dyDescent="0.25">
      <c r="A2" s="57"/>
      <c r="B2" s="57"/>
      <c r="C2" s="58"/>
    </row>
    <row r="3" spans="1:3" ht="15.75" x14ac:dyDescent="0.2">
      <c r="A3" s="59" t="s">
        <v>1</v>
      </c>
      <c r="B3" s="59" t="s">
        <v>1170</v>
      </c>
      <c r="C3" s="60" t="s">
        <v>1210</v>
      </c>
    </row>
    <row r="4" spans="1:3" ht="15" x14ac:dyDescent="0.2">
      <c r="A4" s="61" t="s">
        <v>1209</v>
      </c>
      <c r="B4" s="61">
        <v>400</v>
      </c>
      <c r="C4" s="62">
        <v>200</v>
      </c>
    </row>
    <row r="5" spans="1:3" ht="15" x14ac:dyDescent="0.2">
      <c r="A5" s="61" t="s">
        <v>1207</v>
      </c>
      <c r="B5" s="61"/>
      <c r="C5" s="62">
        <v>180</v>
      </c>
    </row>
    <row r="6" spans="1:3" ht="15" x14ac:dyDescent="0.2">
      <c r="A6" s="61" t="s">
        <v>1208</v>
      </c>
      <c r="B6" s="61"/>
      <c r="C6" s="62">
        <v>10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38F1-2EB9-4D95-9298-601FA532D464}">
  <dimension ref="A1:IV24"/>
  <sheetViews>
    <sheetView rightToLeft="1" workbookViewId="0">
      <selection activeCell="C23" sqref="C23"/>
    </sheetView>
  </sheetViews>
  <sheetFormatPr defaultRowHeight="12.75" x14ac:dyDescent="0.2"/>
  <cols>
    <col min="1" max="1" width="25" customWidth="1"/>
    <col min="2" max="2" width="6.140625" customWidth="1"/>
    <col min="3" max="3" width="14.85546875" customWidth="1"/>
    <col min="4" max="4" width="9.28515625" customWidth="1"/>
    <col min="5" max="5" width="13.5703125" customWidth="1"/>
  </cols>
  <sheetData>
    <row r="1" spans="1:256" x14ac:dyDescent="0.2">
      <c r="A1" s="187" t="s">
        <v>1</v>
      </c>
      <c r="B1" s="187" t="s">
        <v>19</v>
      </c>
      <c r="C1" s="188" t="s">
        <v>424</v>
      </c>
      <c r="D1" s="189" t="s">
        <v>113</v>
      </c>
      <c r="E1" s="190" t="s">
        <v>425</v>
      </c>
    </row>
    <row r="2" spans="1:256" ht="14.25" x14ac:dyDescent="0.2">
      <c r="A2" s="191" t="s">
        <v>116</v>
      </c>
      <c r="B2" s="54" t="s">
        <v>114</v>
      </c>
      <c r="C2" s="192">
        <v>27</v>
      </c>
      <c r="D2" s="193">
        <v>0.12</v>
      </c>
      <c r="E2" s="194">
        <f t="shared" ref="E2:E17" si="0">C2*(1-D2)</f>
        <v>23.76</v>
      </c>
    </row>
    <row r="3" spans="1:256" ht="14.25" x14ac:dyDescent="0.2">
      <c r="A3" s="200" t="s">
        <v>1597</v>
      </c>
      <c r="B3" s="201" t="s">
        <v>114</v>
      </c>
      <c r="C3" s="202">
        <v>43.99</v>
      </c>
      <c r="D3" s="203">
        <v>0.52</v>
      </c>
      <c r="E3" s="204">
        <f t="shared" si="0"/>
        <v>21.115200000000002</v>
      </c>
    </row>
    <row r="4" spans="1:256" ht="14.25" x14ac:dyDescent="0.2">
      <c r="A4" s="200" t="s">
        <v>923</v>
      </c>
      <c r="B4" s="201" t="s">
        <v>114</v>
      </c>
      <c r="C4" s="202">
        <v>43.99</v>
      </c>
      <c r="D4" s="203">
        <v>0.45</v>
      </c>
      <c r="E4" s="204">
        <f>C4*(1-D4)</f>
        <v>24.194500000000001</v>
      </c>
    </row>
    <row r="5" spans="1:256" ht="14.25" x14ac:dyDescent="0.2">
      <c r="A5" s="191" t="s">
        <v>117</v>
      </c>
      <c r="B5" s="54" t="s">
        <v>114</v>
      </c>
      <c r="C5" s="192">
        <v>22.46</v>
      </c>
      <c r="D5" s="193">
        <v>0.2</v>
      </c>
      <c r="E5" s="194">
        <f t="shared" si="0"/>
        <v>17.968</v>
      </c>
      <c r="IV5" s="199">
        <f>SUM(C5:IU5)</f>
        <v>40.628</v>
      </c>
    </row>
    <row r="6" spans="1:256" ht="14.25" x14ac:dyDescent="0.2">
      <c r="A6" s="200" t="s">
        <v>1600</v>
      </c>
      <c r="B6" s="201" t="s">
        <v>114</v>
      </c>
      <c r="C6" s="202">
        <v>18.61</v>
      </c>
      <c r="D6" s="203">
        <v>0.49</v>
      </c>
      <c r="E6" s="204">
        <f>C6*(1-D6)</f>
        <v>9.4910999999999994</v>
      </c>
      <c r="IV6" s="199"/>
    </row>
    <row r="7" spans="1:256" ht="14.25" x14ac:dyDescent="0.2">
      <c r="A7" s="191" t="s">
        <v>1009</v>
      </c>
      <c r="B7" s="54" t="s">
        <v>114</v>
      </c>
      <c r="C7" s="192">
        <v>13.98</v>
      </c>
      <c r="D7" s="193">
        <v>0.38390000000000002</v>
      </c>
      <c r="E7" s="194">
        <f t="shared" si="0"/>
        <v>8.6130779999999998</v>
      </c>
    </row>
    <row r="8" spans="1:256" ht="14.25" x14ac:dyDescent="0.2">
      <c r="A8" s="200" t="s">
        <v>1599</v>
      </c>
      <c r="B8" s="201" t="s">
        <v>114</v>
      </c>
      <c r="C8" s="202">
        <v>19.91</v>
      </c>
      <c r="D8" s="203">
        <v>0.53</v>
      </c>
      <c r="E8" s="204">
        <f>C8*(1-D8)</f>
        <v>9.3576999999999995</v>
      </c>
    </row>
    <row r="9" spans="1:256" ht="14.25" x14ac:dyDescent="0.2">
      <c r="A9" s="191" t="s">
        <v>118</v>
      </c>
      <c r="B9" s="54" t="s">
        <v>114</v>
      </c>
      <c r="C9" s="192">
        <v>43.2</v>
      </c>
      <c r="D9" s="193">
        <v>0.2</v>
      </c>
      <c r="E9" s="194">
        <f t="shared" si="0"/>
        <v>34.56</v>
      </c>
    </row>
    <row r="10" spans="1:256" ht="14.25" x14ac:dyDescent="0.2">
      <c r="A10" s="191" t="s">
        <v>119</v>
      </c>
      <c r="B10" s="54" t="s">
        <v>114</v>
      </c>
      <c r="C10" s="192">
        <v>43.2</v>
      </c>
      <c r="D10" s="193">
        <v>0.2</v>
      </c>
      <c r="E10" s="194">
        <f t="shared" si="0"/>
        <v>34.56</v>
      </c>
    </row>
    <row r="11" spans="1:256" ht="14.25" x14ac:dyDescent="0.2">
      <c r="A11" s="54" t="s">
        <v>841</v>
      </c>
      <c r="B11" s="54" t="s">
        <v>114</v>
      </c>
      <c r="C11" s="192">
        <v>61.05</v>
      </c>
      <c r="D11" s="193">
        <v>2.75E-2</v>
      </c>
      <c r="E11" s="194">
        <f t="shared" si="0"/>
        <v>59.371124999999999</v>
      </c>
    </row>
    <row r="12" spans="1:256" ht="14.25" x14ac:dyDescent="0.2">
      <c r="A12" s="54" t="s">
        <v>115</v>
      </c>
      <c r="B12" s="54" t="s">
        <v>114</v>
      </c>
      <c r="C12" s="192">
        <v>71.14</v>
      </c>
      <c r="D12" s="193">
        <v>0</v>
      </c>
      <c r="E12" s="194">
        <f t="shared" si="0"/>
        <v>71.14</v>
      </c>
    </row>
    <row r="13" spans="1:256" ht="14.25" x14ac:dyDescent="0.2">
      <c r="A13" s="201" t="s">
        <v>1598</v>
      </c>
      <c r="B13" s="201" t="s">
        <v>114</v>
      </c>
      <c r="C13" s="202">
        <v>22.5</v>
      </c>
      <c r="D13" s="203">
        <v>0.56000000000000005</v>
      </c>
      <c r="E13" s="204">
        <f>C13*(1-D13)</f>
        <v>9.8999999999999986</v>
      </c>
    </row>
    <row r="14" spans="1:256" ht="14.25" x14ac:dyDescent="0.2">
      <c r="A14" s="54" t="s">
        <v>995</v>
      </c>
      <c r="B14" s="54" t="s">
        <v>114</v>
      </c>
      <c r="C14" s="192">
        <v>11.33</v>
      </c>
      <c r="D14" s="193">
        <v>0.2656</v>
      </c>
      <c r="E14" s="194">
        <f>C14*(1-D14)</f>
        <v>8.3207519999999988</v>
      </c>
    </row>
    <row r="15" spans="1:256" ht="14.25" x14ac:dyDescent="0.2">
      <c r="A15" s="54" t="s">
        <v>120</v>
      </c>
      <c r="B15" s="54" t="s">
        <v>114</v>
      </c>
      <c r="C15" s="192">
        <v>42</v>
      </c>
      <c r="D15" s="193">
        <v>0.24</v>
      </c>
      <c r="E15" s="194">
        <f t="shared" si="0"/>
        <v>31.92</v>
      </c>
    </row>
    <row r="16" spans="1:256" ht="14.25" x14ac:dyDescent="0.2">
      <c r="A16" s="54" t="s">
        <v>121</v>
      </c>
      <c r="B16" s="54" t="s">
        <v>114</v>
      </c>
      <c r="C16" s="192">
        <v>40.32</v>
      </c>
      <c r="D16" s="193">
        <v>0.3</v>
      </c>
      <c r="E16" s="194">
        <f t="shared" si="0"/>
        <v>28.223999999999997</v>
      </c>
    </row>
    <row r="17" spans="1:5" ht="14.25" x14ac:dyDescent="0.2">
      <c r="A17" s="195" t="s">
        <v>1554</v>
      </c>
      <c r="B17" s="54"/>
      <c r="C17" s="196">
        <v>77.58</v>
      </c>
      <c r="D17" s="197">
        <v>1.44E-2</v>
      </c>
      <c r="E17" s="198">
        <f t="shared" si="0"/>
        <v>76.462847999999994</v>
      </c>
    </row>
    <row r="24" spans="1:5" x14ac:dyDescent="0.2">
      <c r="D24" t="s">
        <v>1553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10</vt:i4>
      </vt:variant>
      <vt:variant>
        <vt:lpstr>טווחים בעלי שם</vt:lpstr>
      </vt:variant>
      <vt:variant>
        <vt:i4>3</vt:i4>
      </vt:variant>
    </vt:vector>
  </HeadingPairs>
  <TitlesOfParts>
    <vt:vector size="13" baseType="lpstr">
      <vt:lpstr>גיליון1</vt:lpstr>
      <vt:lpstr>מאפיים</vt:lpstr>
      <vt:lpstr>תנובה</vt:lpstr>
      <vt:lpstr>גידרון</vt:lpstr>
      <vt:lpstr>וגשל</vt:lpstr>
      <vt:lpstr>חד פעמי</vt:lpstr>
      <vt:lpstr>חד פעמי חדש</vt:lpstr>
      <vt:lpstr>אנגל</vt:lpstr>
      <vt:lpstr>הודיה פלסט</vt:lpstr>
      <vt:lpstr>יפאורה</vt:lpstr>
      <vt:lpstr>גידרון!WPrint_Area_W</vt:lpstr>
      <vt:lpstr>'חד פעמי'!WPrint_Area_W</vt:lpstr>
      <vt:lpstr>גיליון1!WPrint_TitlesW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Levy Horovitz</dc:creator>
  <cp:lastModifiedBy>Efraim Winberg</cp:lastModifiedBy>
  <cp:lastPrinted>2025-09-08T12:06:41Z</cp:lastPrinted>
  <dcterms:created xsi:type="dcterms:W3CDTF">2008-01-24T09:29:48Z</dcterms:created>
  <dcterms:modified xsi:type="dcterms:W3CDTF">2025-12-07T13:57:55Z</dcterms:modified>
</cp:coreProperties>
</file>